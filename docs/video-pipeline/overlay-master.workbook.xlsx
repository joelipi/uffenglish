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INPUT" sheetId="2" state="visible" r:id="rId2"/>
  </sheets>
  <definedNames>
    <definedName name="Globals">INPUT!$A$4:$B$15</definedName>
    <definedName name="Lessons">INPUT!$A$18:$D$24</definedName>
    <definedName name="Steps">INPUT!$A$27:$A$45</definedName>
    <definedName name="Takes">INPUT!$A$48:$I$156</definedName>
    <definedName name="_xlnm._FilterDatabase" localSheetId="0" hidden="1">'MAIN'!$A$1:$BG$109</definedName>
    <definedName name="_xlnm._FilterDatabase" localSheetId="1" hidden="1">'INPUT'!$A$48:$I$156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</font>
    <font>
      <b val="1"/>
      <color rgb="00FFFFFF"/>
    </font>
    <font>
      <b val="1"/>
      <i val="1"/>
      <color rgb="00555555"/>
    </font>
  </fonts>
  <fills count="5">
    <fill>
      <patternFill/>
    </fill>
    <fill>
      <patternFill patternType="gray125"/>
    </fill>
    <fill>
      <patternFill patternType="solid">
        <fgColor rgb="00D9E6EC"/>
      </patternFill>
    </fill>
    <fill>
      <patternFill patternType="solid">
        <fgColor rgb="001F4E5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AAAAA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B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  <col width="5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6" customWidth="1" min="16" max="16"/>
    <col width="26" customWidth="1" min="17" max="17"/>
    <col width="26" customWidth="1" min="18" max="18"/>
    <col width="22" customWidth="1" min="19" max="19"/>
    <col width="22" customWidth="1" min="20" max="20"/>
    <col width="60" customWidth="1" min="21" max="21"/>
    <col width="22" customWidth="1" min="22" max="22"/>
    <col width="22" customWidth="1" min="23" max="23"/>
    <col width="22" customWidth="1" min="24" max="24"/>
    <col width="30" customWidth="1" min="25" max="25"/>
    <col width="30" customWidth="1" min="26" max="26"/>
    <col width="22" customWidth="1" min="27" max="27"/>
    <col width="30" customWidth="1" min="28" max="28"/>
    <col width="30" customWidth="1" min="29" max="29"/>
    <col width="22" customWidth="1" min="30" max="30"/>
    <col width="22" customWidth="1" min="31" max="31"/>
    <col width="30" customWidth="1" min="32" max="32"/>
    <col width="30" customWidth="1" min="33" max="33"/>
    <col width="30" customWidth="1" min="34" max="34"/>
    <col width="30" customWidth="1" min="35" max="35"/>
    <col width="40" customWidth="1" min="36" max="36"/>
    <col width="30" customWidth="1" min="37" max="37"/>
    <col width="30" customWidth="1" min="38" max="38"/>
    <col width="30" customWidth="1" min="39" max="39"/>
    <col width="40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6" customWidth="1" min="59" max="59"/>
  </cols>
  <sheetData>
    <row r="1">
      <c r="A1" s="1" t="inlineStr">
        <is>
          <t>title_text</t>
        </is>
      </c>
      <c r="B1" s="1" t="inlineStr">
        <is>
          <t>order</t>
        </is>
      </c>
      <c r="C1" s="1" t="inlineStr">
        <is>
          <t>app-repeat</t>
        </is>
      </c>
      <c r="D1" s="1" t="inlineStr">
        <is>
          <t>app-ai</t>
        </is>
      </c>
      <c r="E1" s="1" t="inlineStr">
        <is>
          <t>mirror</t>
        </is>
      </c>
      <c r="F1" s="1" t="inlineStr">
        <is>
          <t>background</t>
        </is>
      </c>
      <c r="G1" s="1" t="inlineStr">
        <is>
          <t>character</t>
        </is>
      </c>
      <c r="H1" s="1" t="inlineStr">
        <is>
          <t>phrase</t>
        </is>
      </c>
      <c r="I1" s="1" t="inlineStr">
        <is>
          <t>directions</t>
        </is>
      </c>
      <c r="J1" s="1" t="inlineStr">
        <is>
          <t>props</t>
        </is>
      </c>
      <c r="K1" s="1" t="inlineStr">
        <is>
          <t>effect</t>
        </is>
      </c>
      <c r="L1" s="1" t="inlineStr">
        <is>
          <t>bgsound</t>
        </is>
      </c>
      <c r="M1" s="1" t="inlineStr">
        <is>
          <t>endsoundeffect</t>
        </is>
      </c>
      <c r="N1" s="1" t="inlineStr">
        <is>
          <t>h3</t>
        </is>
      </c>
      <c r="O1" s="1" t="inlineStr">
        <is>
          <t>previousline</t>
        </is>
      </c>
      <c r="P1" s="1" t="inlineStr">
        <is>
          <t>filename</t>
        </is>
      </c>
      <c r="Q1" s="1" t="inlineStr">
        <is>
          <t>join</t>
        </is>
      </c>
      <c r="R1" s="1" t="inlineStr">
        <is>
          <t>video_file</t>
        </is>
      </c>
      <c r="S1" s="1" t="inlineStr">
        <is>
          <t>footer_text</t>
        </is>
      </c>
      <c r="T1" s="1" t="inlineStr">
        <is>
          <t>bgmusic</t>
        </is>
      </c>
      <c r="U1" s="1" t="inlineStr">
        <is>
          <t>subtitle_text</t>
        </is>
      </c>
      <c r="V1" s="1" t="inlineStr">
        <is>
          <t>foreground</t>
        </is>
      </c>
      <c r="W1" s="1" t="inlineStr">
        <is>
          <t>overlay</t>
        </is>
      </c>
      <c r="X1" s="1" t="inlineStr">
        <is>
          <t>image</t>
        </is>
      </c>
      <c r="Y1" s="1" t="inlineStr">
        <is>
          <t>course_id</t>
        </is>
      </c>
      <c r="Z1" s="1" t="inlineStr">
        <is>
          <t>course_name</t>
        </is>
      </c>
      <c r="AA1" s="1" t="inlineStr">
        <is>
          <t>lesson_id</t>
        </is>
      </c>
      <c r="AB1" s="1" t="inlineStr">
        <is>
          <t>lesson_title</t>
        </is>
      </c>
      <c r="AC1" s="1" t="inlineStr">
        <is>
          <t>response_type</t>
        </is>
      </c>
      <c r="AD1" s="1" t="inlineStr">
        <is>
          <t>unit</t>
        </is>
      </c>
      <c r="AE1" s="1" t="inlineStr">
        <is>
          <t>mission</t>
        </is>
      </c>
      <c r="AF1" s="1" t="inlineStr">
        <is>
          <t>recap_sources</t>
        </is>
      </c>
      <c r="AG1" s="1" t="inlineStr">
        <is>
          <t>recap_overlay</t>
        </is>
      </c>
      <c r="AH1" s="1" t="inlineStr">
        <is>
          <t>intro_video</t>
        </is>
      </c>
      <c r="AI1" s="1" t="inlineStr">
        <is>
          <t>success_video</t>
        </is>
      </c>
      <c r="AJ1" s="1" t="inlineStr">
        <is>
          <t>success_srt</t>
        </is>
      </c>
      <c r="AK1" s="1" t="inlineStr">
        <is>
          <t>success_srt_es</t>
        </is>
      </c>
      <c r="AL1" s="1" t="inlineStr">
        <is>
          <t>success_srt_pt</t>
        </is>
      </c>
      <c r="AM1" s="1" t="inlineStr">
        <is>
          <t>success_srt_bn</t>
        </is>
      </c>
      <c r="AN1" s="1" t="inlineStr">
        <is>
          <t>srt</t>
        </is>
      </c>
      <c r="AO1" s="1" t="inlineStr">
        <is>
          <t>lesson_title_es</t>
        </is>
      </c>
      <c r="AP1" s="1" t="inlineStr">
        <is>
          <t>lesson_title_pt</t>
        </is>
      </c>
      <c r="AQ1" s="1" t="inlineStr">
        <is>
          <t>lesson_title_bn</t>
        </is>
      </c>
      <c r="AR1" s="1" t="inlineStr">
        <is>
          <t>mission_es</t>
        </is>
      </c>
      <c r="AS1" s="1" t="inlineStr">
        <is>
          <t>mission_pt</t>
        </is>
      </c>
      <c r="AT1" s="1" t="inlineStr">
        <is>
          <t>mission_bn</t>
        </is>
      </c>
      <c r="AU1" s="1" t="inlineStr">
        <is>
          <t>cue_es</t>
        </is>
      </c>
      <c r="AV1" s="1" t="inlineStr">
        <is>
          <t>cue_pt</t>
        </is>
      </c>
      <c r="AW1" s="1" t="inlineStr">
        <is>
          <t>cue_bn</t>
        </is>
      </c>
      <c r="AX1" s="1" t="inlineStr">
        <is>
          <t>cue_alt_es</t>
        </is>
      </c>
      <c r="AY1" s="1" t="inlineStr">
        <is>
          <t>cue_alt_pt</t>
        </is>
      </c>
      <c r="AZ1" s="1" t="inlineStr">
        <is>
          <t>cue_alt_bn</t>
        </is>
      </c>
      <c r="BA1" s="1" t="inlineStr">
        <is>
          <t>subtitle_text_es</t>
        </is>
      </c>
      <c r="BB1" s="1" t="inlineStr">
        <is>
          <t>subtitle_text_pt</t>
        </is>
      </c>
      <c r="BC1" s="1" t="inlineStr">
        <is>
          <t>subtitle_text_bn</t>
        </is>
      </c>
      <c r="BD1" s="1" t="inlineStr">
        <is>
          <t>phrase_es</t>
        </is>
      </c>
      <c r="BE1" s="1" t="inlineStr">
        <is>
          <t>phrase_pt</t>
        </is>
      </c>
      <c r="BF1" s="1" t="inlineStr">
        <is>
          <t>phrase_bn</t>
        </is>
      </c>
      <c r="BG1" s="2" t="inlineStr">
        <is>
          <t>_step</t>
        </is>
      </c>
    </row>
    <row r="2">
      <c r="A2">
        <f>INPUT!$B$5</f>
        <v/>
      </c>
      <c r="B2" t="inlineStr">
        <is>
          <t>01</t>
        </is>
      </c>
      <c r="C2" t="inlineStr"/>
      <c r="D2" t="inlineStr"/>
      <c r="E2" t="inlineStr"/>
      <c r="F2" t="inlineStr"/>
      <c r="G2">
        <f>INPUT!$B$6</f>
        <v/>
      </c>
      <c r="H2">
        <f>IFERROR(VLOOKUP($P$2,INPUT!$A$48:$I$156,6,FALSE),"")</f>
        <v/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wouldyourather_a0101</t>
        </is>
      </c>
      <c r="Q2">
        <f>IFERROR(VLOOKUP($P$2,INPUT!$A$48:$I$156,4,FALSE),"")</f>
        <v/>
      </c>
      <c r="R2">
        <f>IFERROR(VLOOKUP($P$2,INPUT!$A$48:$I$156,3,FALSE),"")</f>
        <v/>
      </c>
      <c r="S2" t="inlineStr"/>
      <c r="T2" t="inlineStr"/>
      <c r="U2">
        <f>"&lt;aside&gt;&lt;strong&gt;🅰1️⃣"&amp;$H$2&amp;"&lt;/strong&gt;&lt;br&gt;&lt;br&gt;🅰2️⃣___________&lt;br&gt;&lt;br&gt;🅱1️⃣___________&lt;br&gt;&lt;br&gt;🅱2️⃣___________&gt;&lt;/mark&gt;"</f>
        <v/>
      </c>
      <c r="V2" t="inlineStr"/>
      <c r="W2" t="inlineStr"/>
      <c r="X2" t="inlineStr"/>
      <c r="Y2">
        <f>INPUT!$B$7</f>
        <v/>
      </c>
      <c r="Z2">
        <f>INPUT!$B$8</f>
        <v/>
      </c>
      <c r="AA2">
        <f>IFERROR(VLOOKUP($P$2,INPUT!$A$48:$I$156,5,FALSE),"")</f>
        <v/>
      </c>
      <c r="AB2">
        <f>IFERROR(VLOOKUP($AA$2,INPUT!$A$18:$D$24,2,FALSE),"")</f>
        <v/>
      </c>
      <c r="AC2">
        <f>INPUT!$B$9</f>
        <v/>
      </c>
      <c r="AD2" t="inlineStr"/>
      <c r="AE2" t="inlineStr"/>
      <c r="AF2">
        <f>IFERROR(VLOOKUP($AA$2,INPUT!$A$18:$D$24,3,FALSE),"")</f>
        <v/>
      </c>
      <c r="AG2">
        <f>INPUT!$B$10</f>
        <v/>
      </c>
      <c r="AH2">
        <f>IFERROR(VLOOKUP($AA$2,INPUT!$A$18:$D$24,4,FALSE),"")</f>
        <v/>
      </c>
      <c r="AI2">
        <f>INPUT!$B$11</f>
        <v/>
      </c>
      <c r="AJ2">
        <f>INPUT!$B$12</f>
        <v/>
      </c>
      <c r="AK2">
        <f>INPUT!$B$13</f>
        <v/>
      </c>
      <c r="AL2">
        <f>INPUT!$B$14</f>
        <v/>
      </c>
      <c r="AM2">
        <f>INPUT!$B$15</f>
        <v/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>
        <f>IFERROR(VLOOKUP($P$2,INPUT!$A$48:$I$156,7,FALSE),"")</f>
        <v/>
      </c>
      <c r="BE2">
        <f>IFERROR(VLOOKUP($P$2,INPUT!$A$48:$I$156,8,FALSE),"")</f>
        <v/>
      </c>
      <c r="BF2">
        <f>IFERROR(VLOOKUP($P$2,INPUT!$A$48:$I$156,9,FALSE),"")</f>
        <v/>
      </c>
      <c r="BG2">
        <f>IF(TRIM($Q$2)&lt;&gt;"",TRIM($Q$2),TRIM($R$2))</f>
        <v/>
      </c>
    </row>
    <row r="3">
      <c r="A3">
        <f>INPUT!$B$5</f>
        <v/>
      </c>
      <c r="B3" t="inlineStr">
        <is>
          <t>02</t>
        </is>
      </c>
      <c r="C3" t="inlineStr"/>
      <c r="D3" t="inlineStr"/>
      <c r="E3" t="inlineStr"/>
      <c r="F3" t="inlineStr"/>
      <c r="G3">
        <f>INPUT!$B$6</f>
        <v/>
      </c>
      <c r="H3">
        <f>IFERROR(VLOOKUP($P$3,INPUT!$A$48:$I$156,6,FALSE),"")</f>
        <v/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wouldyourather_a0102</t>
        </is>
      </c>
      <c r="Q3">
        <f>IFERROR(VLOOKUP($P$3,INPUT!$A$48:$I$156,4,FALSE),"")</f>
        <v/>
      </c>
      <c r="R3">
        <f>IFERROR(VLOOKUP($P$3,INPUT!$A$48:$I$156,3,FALSE),"")</f>
        <v/>
      </c>
      <c r="S3" t="inlineStr"/>
      <c r="T3" t="inlineStr"/>
      <c r="U3">
        <f>"&lt;aside&gt;🅰1️⃣"&amp;$H$2&amp;"&lt;br&gt;&lt;br&gt;&lt;strong&gt;🅰2️⃣"&amp;$H$3&amp;"&lt;/strong&gt;&lt;br&gt;&lt;br&gt;🅱1️⃣___________&lt;br&gt;&lt;br&gt;🅱2️⃣___________&lt;/mark&gt;"</f>
        <v/>
      </c>
      <c r="V3" t="inlineStr"/>
      <c r="W3" t="inlineStr"/>
      <c r="X3" t="inlineStr"/>
      <c r="Y3">
        <f>INPUT!$B$7</f>
        <v/>
      </c>
      <c r="Z3">
        <f>INPUT!$B$8</f>
        <v/>
      </c>
      <c r="AA3">
        <f>IFERROR(VLOOKUP($P$3,INPUT!$A$48:$I$156,5,FALSE),"")</f>
        <v/>
      </c>
      <c r="AB3">
        <f>IFERROR(VLOOKUP($AA$3,INPUT!$A$18:$D$24,2,FALSE),"")</f>
        <v/>
      </c>
      <c r="AC3">
        <f>INPUT!$B$9</f>
        <v/>
      </c>
      <c r="AD3" t="inlineStr"/>
      <c r="AE3" t="inlineStr"/>
      <c r="AF3">
        <f>IFERROR(VLOOKUP($AA$3,INPUT!$A$18:$D$24,3,FALSE),"")</f>
        <v/>
      </c>
      <c r="AG3">
        <f>INPUT!$B$10</f>
        <v/>
      </c>
      <c r="AH3">
        <f>IFERROR(VLOOKUP($AA$3,INPUT!$A$18:$D$24,4,FALSE),"")</f>
        <v/>
      </c>
      <c r="AI3">
        <f>INPUT!$B$11</f>
        <v/>
      </c>
      <c r="AJ3">
        <f>INPUT!$B$12</f>
        <v/>
      </c>
      <c r="AK3">
        <f>INPUT!$B$13</f>
        <v/>
      </c>
      <c r="AL3">
        <f>INPUT!$B$14</f>
        <v/>
      </c>
      <c r="AM3">
        <f>INPUT!$B$15</f>
        <v/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>
        <f>IFERROR(VLOOKUP($P$3,INPUT!$A$48:$I$156,7,FALSE),"")</f>
        <v/>
      </c>
      <c r="BE3">
        <f>IFERROR(VLOOKUP($P$3,INPUT!$A$48:$I$156,8,FALSE),"")</f>
        <v/>
      </c>
      <c r="BF3">
        <f>IFERROR(VLOOKUP($P$3,INPUT!$A$48:$I$156,9,FALSE),"")</f>
        <v/>
      </c>
      <c r="BG3">
        <f>IF(TRIM($Q$3)&lt;&gt;"",TRIM($Q$3),TRIM($R$3))</f>
        <v/>
      </c>
    </row>
    <row r="4">
      <c r="A4">
        <f>INPUT!$B$5</f>
        <v/>
      </c>
      <c r="B4" t="inlineStr">
        <is>
          <t>03</t>
        </is>
      </c>
      <c r="C4" t="inlineStr"/>
      <c r="D4" t="inlineStr"/>
      <c r="E4" t="inlineStr"/>
      <c r="F4" t="inlineStr"/>
      <c r="G4">
        <f>INPUT!$B$6</f>
        <v/>
      </c>
      <c r="H4">
        <f>IFERROR(VLOOKUP($P$4,INPUT!$A$48:$I$156,6,FALSE),"")</f>
        <v/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wouldyourather_a0103</t>
        </is>
      </c>
      <c r="Q4">
        <f>IFERROR(VLOOKUP($P$4,INPUT!$A$48:$I$156,4,FALSE),"")</f>
        <v/>
      </c>
      <c r="R4">
        <f>IFERROR(VLOOKUP($P$4,INPUT!$A$48:$I$156,3,FALSE),"")</f>
        <v/>
      </c>
      <c r="S4" t="inlineStr"/>
      <c r="T4" t="inlineStr"/>
      <c r="U4">
        <f>"&lt;aside&gt;🅰1️⃣"&amp;$H$2&amp;"&lt;br&gt;&lt;br&gt;🅰2️⃣"&amp;$H$3&amp;"&lt;br&gt;&lt;br&gt;&lt;strong&gt;🅱1️⃣"&amp;$H$4&amp;"&lt;/strong&gt;&lt;br&gt;&lt;br&gt;🅱2️⃣___________&lt;/mark&gt;"</f>
        <v/>
      </c>
      <c r="V4" t="inlineStr"/>
      <c r="W4" t="inlineStr"/>
      <c r="X4" t="inlineStr"/>
      <c r="Y4">
        <f>INPUT!$B$7</f>
        <v/>
      </c>
      <c r="Z4">
        <f>INPUT!$B$8</f>
        <v/>
      </c>
      <c r="AA4">
        <f>IFERROR(VLOOKUP($P$4,INPUT!$A$48:$I$156,5,FALSE),"")</f>
        <v/>
      </c>
      <c r="AB4">
        <f>IFERROR(VLOOKUP($AA$4,INPUT!$A$18:$D$24,2,FALSE),"")</f>
        <v/>
      </c>
      <c r="AC4">
        <f>INPUT!$B$9</f>
        <v/>
      </c>
      <c r="AD4" t="inlineStr"/>
      <c r="AE4" t="inlineStr"/>
      <c r="AF4">
        <f>IFERROR(VLOOKUP($AA$4,INPUT!$A$18:$D$24,3,FALSE),"")</f>
        <v/>
      </c>
      <c r="AG4">
        <f>INPUT!$B$10</f>
        <v/>
      </c>
      <c r="AH4">
        <f>IFERROR(VLOOKUP($AA$4,INPUT!$A$18:$D$24,4,FALSE),"")</f>
        <v/>
      </c>
      <c r="AI4">
        <f>INPUT!$B$11</f>
        <v/>
      </c>
      <c r="AJ4">
        <f>INPUT!$B$12</f>
        <v/>
      </c>
      <c r="AK4">
        <f>INPUT!$B$13</f>
        <v/>
      </c>
      <c r="AL4">
        <f>INPUT!$B$14</f>
        <v/>
      </c>
      <c r="AM4">
        <f>INPUT!$B$15</f>
        <v/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>
        <f>IFERROR(VLOOKUP($P$4,INPUT!$A$48:$I$156,7,FALSE),"")</f>
        <v/>
      </c>
      <c r="BE4">
        <f>IFERROR(VLOOKUP($P$4,INPUT!$A$48:$I$156,8,FALSE),"")</f>
        <v/>
      </c>
      <c r="BF4">
        <f>IFERROR(VLOOKUP($P$4,INPUT!$A$48:$I$156,9,FALSE),"")</f>
        <v/>
      </c>
      <c r="BG4">
        <f>IF(TRIM($Q$4)&lt;&gt;"",TRIM($Q$4),TRIM($R$4))</f>
        <v/>
      </c>
    </row>
    <row r="5">
      <c r="A5">
        <f>INPUT!$B$5</f>
        <v/>
      </c>
      <c r="B5" t="inlineStr">
        <is>
          <t>04</t>
        </is>
      </c>
      <c r="C5" t="inlineStr"/>
      <c r="D5" t="inlineStr"/>
      <c r="E5" t="inlineStr"/>
      <c r="F5" t="inlineStr"/>
      <c r="G5">
        <f>INPUT!$B$6</f>
        <v/>
      </c>
      <c r="H5">
        <f>IFERROR(VLOOKUP($P$5,INPUT!$A$48:$I$156,6,FALSE),"")</f>
        <v/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wouldyourather_a0104</t>
        </is>
      </c>
      <c r="Q5">
        <f>IFERROR(VLOOKUP($P$5,INPUT!$A$48:$I$156,4,FALSE),"")</f>
        <v/>
      </c>
      <c r="R5">
        <f>IFERROR(VLOOKUP($P$5,INPUT!$A$48:$I$156,3,FALSE),"")</f>
        <v/>
      </c>
      <c r="S5" t="inlineStr"/>
      <c r="T5" t="inlineStr"/>
      <c r="U5">
        <f>"&lt;aside&gt;🅰1️⃣"&amp;$H$2&amp;"&lt;br&gt;&lt;br&gt;🅰2️⃣"&amp;$H$3&amp;"&lt;br&gt;&lt;br&gt;🅱1️⃣"&amp;$H$4&amp;"&lt;br&gt;&lt;br&gt;&lt;strong&gt;🅱2️⃣"&amp;$H$5&amp;"&lt;/mark&gt;"</f>
        <v/>
      </c>
      <c r="V5" t="inlineStr"/>
      <c r="W5" t="inlineStr"/>
      <c r="X5" t="inlineStr"/>
      <c r="Y5">
        <f>INPUT!$B$7</f>
        <v/>
      </c>
      <c r="Z5">
        <f>INPUT!$B$8</f>
        <v/>
      </c>
      <c r="AA5">
        <f>IFERROR(VLOOKUP($P$5,INPUT!$A$48:$I$156,5,FALSE),"")</f>
        <v/>
      </c>
      <c r="AB5">
        <f>IFERROR(VLOOKUP($AA$5,INPUT!$A$18:$D$24,2,FALSE),"")</f>
        <v/>
      </c>
      <c r="AC5">
        <f>INPUT!$B$9</f>
        <v/>
      </c>
      <c r="AD5" t="inlineStr"/>
      <c r="AE5" t="inlineStr"/>
      <c r="AF5">
        <f>IFERROR(VLOOKUP($AA$5,INPUT!$A$18:$D$24,3,FALSE),"")</f>
        <v/>
      </c>
      <c r="AG5">
        <f>INPUT!$B$10</f>
        <v/>
      </c>
      <c r="AH5">
        <f>IFERROR(VLOOKUP($AA$5,INPUT!$A$18:$D$24,4,FALSE),"")</f>
        <v/>
      </c>
      <c r="AI5">
        <f>INPUT!$B$11</f>
        <v/>
      </c>
      <c r="AJ5">
        <f>INPUT!$B$12</f>
        <v/>
      </c>
      <c r="AK5">
        <f>INPUT!$B$13</f>
        <v/>
      </c>
      <c r="AL5">
        <f>INPUT!$B$14</f>
        <v/>
      </c>
      <c r="AM5">
        <f>INPUT!$B$15</f>
        <v/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>
        <f>IFERROR(VLOOKUP($P$5,INPUT!$A$48:$I$156,7,FALSE),"")</f>
        <v/>
      </c>
      <c r="BE5">
        <f>IFERROR(VLOOKUP($P$5,INPUT!$A$48:$I$156,8,FALSE),"")</f>
        <v/>
      </c>
      <c r="BF5">
        <f>IFERROR(VLOOKUP($P$5,INPUT!$A$48:$I$156,9,FALSE),"")</f>
        <v/>
      </c>
      <c r="BG5">
        <f>IF(TRIM($Q$5)&lt;&gt;"",TRIM($Q$5),TRIM($R$5))</f>
        <v/>
      </c>
    </row>
    <row r="6">
      <c r="A6">
        <f>INPUT!$B$5</f>
        <v/>
      </c>
      <c r="B6" t="inlineStr">
        <is>
          <t>01</t>
        </is>
      </c>
      <c r="C6" t="inlineStr"/>
      <c r="D6" t="inlineStr"/>
      <c r="E6" t="inlineStr"/>
      <c r="F6" t="inlineStr"/>
      <c r="G6">
        <f>INPUT!$B$6</f>
        <v/>
      </c>
      <c r="H6">
        <f>IFERROR(VLOOKUP($P$6,INPUT!$A$48:$I$156,6,FALSE),"")</f>
        <v/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wouldyourather_a0201</t>
        </is>
      </c>
      <c r="Q6">
        <f>IFERROR(VLOOKUP($P$6,INPUT!$A$48:$I$156,4,FALSE),"")</f>
        <v/>
      </c>
      <c r="R6">
        <f>IFERROR(VLOOKUP($P$6,INPUT!$A$48:$I$156,3,FALSE),"")</f>
        <v/>
      </c>
      <c r="S6" t="inlineStr"/>
      <c r="T6" t="inlineStr"/>
      <c r="U6">
        <f>"&lt;aside&gt;&lt;strong&gt;🅰1️⃣"&amp;$H$6&amp;"&lt;/strong&gt;&lt;br&gt;&lt;br&gt;🅰2️⃣___________&lt;br&gt;&lt;br&gt;🅱1️⃣___________&lt;br&gt;&lt;br&gt;🅱2️⃣___________&gt;&lt;/mark&gt;"</f>
        <v/>
      </c>
      <c r="V6" t="inlineStr"/>
      <c r="W6" t="inlineStr"/>
      <c r="X6" t="inlineStr"/>
      <c r="Y6">
        <f>INPUT!$B$7</f>
        <v/>
      </c>
      <c r="Z6">
        <f>INPUT!$B$8</f>
        <v/>
      </c>
      <c r="AA6">
        <f>IFERROR(VLOOKUP($P$6,INPUT!$A$48:$I$156,5,FALSE),"")</f>
        <v/>
      </c>
      <c r="AB6">
        <f>IFERROR(VLOOKUP($AA$6,INPUT!$A$18:$D$24,2,FALSE),"")</f>
        <v/>
      </c>
      <c r="AC6">
        <f>INPUT!$B$9</f>
        <v/>
      </c>
      <c r="AD6" t="inlineStr"/>
      <c r="AE6" t="inlineStr"/>
      <c r="AF6">
        <f>IFERROR(VLOOKUP($AA$6,INPUT!$A$18:$D$24,3,FALSE),"")</f>
        <v/>
      </c>
      <c r="AG6">
        <f>INPUT!$B$10</f>
        <v/>
      </c>
      <c r="AH6">
        <f>IFERROR(VLOOKUP($AA$6,INPUT!$A$18:$D$24,4,FALSE),"")</f>
        <v/>
      </c>
      <c r="AI6">
        <f>INPUT!$B$11</f>
        <v/>
      </c>
      <c r="AJ6">
        <f>INPUT!$B$12</f>
        <v/>
      </c>
      <c r="AK6">
        <f>INPUT!$B$13</f>
        <v/>
      </c>
      <c r="AL6">
        <f>INPUT!$B$14</f>
        <v/>
      </c>
      <c r="AM6">
        <f>INPUT!$B$15</f>
        <v/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>
        <f>IFERROR(VLOOKUP($P$6,INPUT!$A$48:$I$156,7,FALSE),"")</f>
        <v/>
      </c>
      <c r="BE6">
        <f>IFERROR(VLOOKUP($P$6,INPUT!$A$48:$I$156,8,FALSE),"")</f>
        <v/>
      </c>
      <c r="BF6">
        <f>IFERROR(VLOOKUP($P$6,INPUT!$A$48:$I$156,9,FALSE),"")</f>
        <v/>
      </c>
      <c r="BG6">
        <f>IF(TRIM($Q$6)&lt;&gt;"",TRIM($Q$6),TRIM($R$6))</f>
        <v/>
      </c>
    </row>
    <row r="7">
      <c r="A7">
        <f>INPUT!$B$5</f>
        <v/>
      </c>
      <c r="B7" t="inlineStr">
        <is>
          <t>02</t>
        </is>
      </c>
      <c r="C7" t="inlineStr"/>
      <c r="D7" t="inlineStr"/>
      <c r="E7" t="inlineStr"/>
      <c r="F7" t="inlineStr"/>
      <c r="G7">
        <f>INPUT!$B$6</f>
        <v/>
      </c>
      <c r="H7">
        <f>IFERROR(VLOOKUP($P$7,INPUT!$A$48:$I$156,6,FALSE),"")</f>
        <v/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wouldyourather_a0202</t>
        </is>
      </c>
      <c r="Q7">
        <f>IFERROR(VLOOKUP($P$7,INPUT!$A$48:$I$156,4,FALSE),"")</f>
        <v/>
      </c>
      <c r="R7">
        <f>IFERROR(VLOOKUP($P$7,INPUT!$A$48:$I$156,3,FALSE),"")</f>
        <v/>
      </c>
      <c r="S7" t="inlineStr"/>
      <c r="T7" t="inlineStr"/>
      <c r="U7">
        <f>"&lt;aside&gt;🅰1️⃣"&amp;$H$6&amp;"&lt;br&gt;&lt;br&gt;&lt;strong&gt;🅰2️⃣"&amp;$H$7&amp;"&lt;/strong&gt;&lt;br&gt;&lt;br&gt;🅱1️⃣___________&lt;br&gt;&lt;br&gt;🅱2️⃣___________&lt;/mark&gt;"</f>
        <v/>
      </c>
      <c r="V7" t="inlineStr"/>
      <c r="W7" t="inlineStr"/>
      <c r="X7" t="inlineStr"/>
      <c r="Y7">
        <f>INPUT!$B$7</f>
        <v/>
      </c>
      <c r="Z7">
        <f>INPUT!$B$8</f>
        <v/>
      </c>
      <c r="AA7">
        <f>IFERROR(VLOOKUP($P$7,INPUT!$A$48:$I$156,5,FALSE),"")</f>
        <v/>
      </c>
      <c r="AB7">
        <f>IFERROR(VLOOKUP($AA$7,INPUT!$A$18:$D$24,2,FALSE),"")</f>
        <v/>
      </c>
      <c r="AC7">
        <f>INPUT!$B$9</f>
        <v/>
      </c>
      <c r="AD7" t="inlineStr"/>
      <c r="AE7" t="inlineStr"/>
      <c r="AF7">
        <f>IFERROR(VLOOKUP($AA$7,INPUT!$A$18:$D$24,3,FALSE),"")</f>
        <v/>
      </c>
      <c r="AG7">
        <f>INPUT!$B$10</f>
        <v/>
      </c>
      <c r="AH7">
        <f>IFERROR(VLOOKUP($AA$7,INPUT!$A$18:$D$24,4,FALSE),"")</f>
        <v/>
      </c>
      <c r="AI7">
        <f>INPUT!$B$11</f>
        <v/>
      </c>
      <c r="AJ7">
        <f>INPUT!$B$12</f>
        <v/>
      </c>
      <c r="AK7">
        <f>INPUT!$B$13</f>
        <v/>
      </c>
      <c r="AL7">
        <f>INPUT!$B$14</f>
        <v/>
      </c>
      <c r="AM7">
        <f>INPUT!$B$15</f>
        <v/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>
        <f>IFERROR(VLOOKUP($P$7,INPUT!$A$48:$I$156,7,FALSE),"")</f>
        <v/>
      </c>
      <c r="BE7">
        <f>IFERROR(VLOOKUP($P$7,INPUT!$A$48:$I$156,8,FALSE),"")</f>
        <v/>
      </c>
      <c r="BF7">
        <f>IFERROR(VLOOKUP($P$7,INPUT!$A$48:$I$156,9,FALSE),"")</f>
        <v/>
      </c>
      <c r="BG7">
        <f>IF(TRIM($Q$7)&lt;&gt;"",TRIM($Q$7),TRIM($R$7))</f>
        <v/>
      </c>
    </row>
    <row r="8">
      <c r="A8">
        <f>INPUT!$B$5</f>
        <v/>
      </c>
      <c r="B8" t="inlineStr">
        <is>
          <t>03</t>
        </is>
      </c>
      <c r="C8" t="inlineStr"/>
      <c r="D8" t="inlineStr"/>
      <c r="E8" t="inlineStr"/>
      <c r="F8" t="inlineStr"/>
      <c r="G8">
        <f>INPUT!$B$6</f>
        <v/>
      </c>
      <c r="H8">
        <f>IFERROR(VLOOKUP($P$8,INPUT!$A$48:$I$156,6,FALSE),"")</f>
        <v/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wouldyourather_a0203</t>
        </is>
      </c>
      <c r="Q8">
        <f>IFERROR(VLOOKUP($P$8,INPUT!$A$48:$I$156,4,FALSE),"")</f>
        <v/>
      </c>
      <c r="R8">
        <f>IFERROR(VLOOKUP($P$8,INPUT!$A$48:$I$156,3,FALSE),"")</f>
        <v/>
      </c>
      <c r="S8" t="inlineStr"/>
      <c r="T8" t="inlineStr"/>
      <c r="U8">
        <f>"&lt;aside&gt;🅰1️⃣"&amp;$H$6&amp;"&lt;br&gt;&lt;br&gt;🅰2️⃣"&amp;$H$7&amp;"&lt;br&gt;&lt;br&gt;&lt;strong&gt;🅱1️⃣"&amp;$H$8&amp;"&lt;/strong&gt;&lt;br&gt;&lt;br&gt;🅱2️⃣___________&lt;/mark&gt;"</f>
        <v/>
      </c>
      <c r="V8" t="inlineStr"/>
      <c r="W8" t="inlineStr"/>
      <c r="X8" t="inlineStr"/>
      <c r="Y8">
        <f>INPUT!$B$7</f>
        <v/>
      </c>
      <c r="Z8">
        <f>INPUT!$B$8</f>
        <v/>
      </c>
      <c r="AA8">
        <f>IFERROR(VLOOKUP($P$8,INPUT!$A$48:$I$156,5,FALSE),"")</f>
        <v/>
      </c>
      <c r="AB8">
        <f>IFERROR(VLOOKUP($AA$8,INPUT!$A$18:$D$24,2,FALSE),"")</f>
        <v/>
      </c>
      <c r="AC8">
        <f>INPUT!$B$9</f>
        <v/>
      </c>
      <c r="AD8" t="inlineStr"/>
      <c r="AE8" t="inlineStr"/>
      <c r="AF8">
        <f>IFERROR(VLOOKUP($AA$8,INPUT!$A$18:$D$24,3,FALSE),"")</f>
        <v/>
      </c>
      <c r="AG8">
        <f>INPUT!$B$10</f>
        <v/>
      </c>
      <c r="AH8">
        <f>IFERROR(VLOOKUP($AA$8,INPUT!$A$18:$D$24,4,FALSE),"")</f>
        <v/>
      </c>
      <c r="AI8">
        <f>INPUT!$B$11</f>
        <v/>
      </c>
      <c r="AJ8">
        <f>INPUT!$B$12</f>
        <v/>
      </c>
      <c r="AK8">
        <f>INPUT!$B$13</f>
        <v/>
      </c>
      <c r="AL8">
        <f>INPUT!$B$14</f>
        <v/>
      </c>
      <c r="AM8">
        <f>INPUT!$B$15</f>
        <v/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>
        <f>IFERROR(VLOOKUP($P$8,INPUT!$A$48:$I$156,7,FALSE),"")</f>
        <v/>
      </c>
      <c r="BE8">
        <f>IFERROR(VLOOKUP($P$8,INPUT!$A$48:$I$156,8,FALSE),"")</f>
        <v/>
      </c>
      <c r="BF8">
        <f>IFERROR(VLOOKUP($P$8,INPUT!$A$48:$I$156,9,FALSE),"")</f>
        <v/>
      </c>
      <c r="BG8">
        <f>IF(TRIM($Q$8)&lt;&gt;"",TRIM($Q$8),TRIM($R$8))</f>
        <v/>
      </c>
    </row>
    <row r="9">
      <c r="A9">
        <f>INPUT!$B$5</f>
        <v/>
      </c>
      <c r="B9" t="inlineStr">
        <is>
          <t>04</t>
        </is>
      </c>
      <c r="C9" t="inlineStr"/>
      <c r="D9" t="inlineStr"/>
      <c r="E9" t="inlineStr"/>
      <c r="F9" t="inlineStr"/>
      <c r="G9">
        <f>INPUT!$B$6</f>
        <v/>
      </c>
      <c r="H9">
        <f>IFERROR(VLOOKUP($P$9,INPUT!$A$48:$I$156,6,FALSE),"")</f>
        <v/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wouldyourather_a0204</t>
        </is>
      </c>
      <c r="Q9">
        <f>IFERROR(VLOOKUP($P$9,INPUT!$A$48:$I$156,4,FALSE),"")</f>
        <v/>
      </c>
      <c r="R9">
        <f>IFERROR(VLOOKUP($P$9,INPUT!$A$48:$I$156,3,FALSE),"")</f>
        <v/>
      </c>
      <c r="S9" t="inlineStr"/>
      <c r="T9" t="inlineStr"/>
      <c r="U9">
        <f>"&lt;aside&gt;🅰1️⃣"&amp;$H$6&amp;"&lt;br&gt;&lt;br&gt;🅰2️⃣"&amp;$H$7&amp;"&lt;br&gt;&lt;br&gt;🅱1️⃣"&amp;$H$8&amp;"&lt;br&gt;&lt;br&gt;&lt;strong&gt;🅱2️⃣"&amp;$H$9&amp;"&lt;/mark&gt;"</f>
        <v/>
      </c>
      <c r="V9" t="inlineStr"/>
      <c r="W9" t="inlineStr"/>
      <c r="X9" t="inlineStr"/>
      <c r="Y9">
        <f>INPUT!$B$7</f>
        <v/>
      </c>
      <c r="Z9">
        <f>INPUT!$B$8</f>
        <v/>
      </c>
      <c r="AA9">
        <f>IFERROR(VLOOKUP($P$9,INPUT!$A$48:$I$156,5,FALSE),"")</f>
        <v/>
      </c>
      <c r="AB9">
        <f>IFERROR(VLOOKUP($AA$9,INPUT!$A$18:$D$24,2,FALSE),"")</f>
        <v/>
      </c>
      <c r="AC9">
        <f>INPUT!$B$9</f>
        <v/>
      </c>
      <c r="AD9" t="inlineStr"/>
      <c r="AE9" t="inlineStr"/>
      <c r="AF9">
        <f>IFERROR(VLOOKUP($AA$9,INPUT!$A$18:$D$24,3,FALSE),"")</f>
        <v/>
      </c>
      <c r="AG9">
        <f>INPUT!$B$10</f>
        <v/>
      </c>
      <c r="AH9">
        <f>IFERROR(VLOOKUP($AA$9,INPUT!$A$18:$D$24,4,FALSE),"")</f>
        <v/>
      </c>
      <c r="AI9">
        <f>INPUT!$B$11</f>
        <v/>
      </c>
      <c r="AJ9">
        <f>INPUT!$B$12</f>
        <v/>
      </c>
      <c r="AK9">
        <f>INPUT!$B$13</f>
        <v/>
      </c>
      <c r="AL9">
        <f>INPUT!$B$14</f>
        <v/>
      </c>
      <c r="AM9">
        <f>INPUT!$B$15</f>
        <v/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>
        <f>IFERROR(VLOOKUP($P$9,INPUT!$A$48:$I$156,7,FALSE),"")</f>
        <v/>
      </c>
      <c r="BE9">
        <f>IFERROR(VLOOKUP($P$9,INPUT!$A$48:$I$156,8,FALSE),"")</f>
        <v/>
      </c>
      <c r="BF9">
        <f>IFERROR(VLOOKUP($P$9,INPUT!$A$48:$I$156,9,FALSE),"")</f>
        <v/>
      </c>
      <c r="BG9">
        <f>IF(TRIM($Q$9)&lt;&gt;"",TRIM($Q$9),TRIM($R$9))</f>
        <v/>
      </c>
    </row>
    <row r="10">
      <c r="A10">
        <f>INPUT!$B$5</f>
        <v/>
      </c>
      <c r="B10" t="inlineStr">
        <is>
          <t>01</t>
        </is>
      </c>
      <c r="C10" t="inlineStr"/>
      <c r="D10" t="inlineStr"/>
      <c r="E10" t="inlineStr"/>
      <c r="F10" t="inlineStr"/>
      <c r="G10">
        <f>INPUT!$B$6</f>
        <v/>
      </c>
      <c r="H10">
        <f>IFERROR(VLOOKUP($P$10,INPUT!$A$48:$I$156,6,FALSE),"")</f>
        <v/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wouldyourather_a0301</t>
        </is>
      </c>
      <c r="Q10">
        <f>IFERROR(VLOOKUP($P$10,INPUT!$A$48:$I$156,4,FALSE),"")</f>
        <v/>
      </c>
      <c r="R10">
        <f>IFERROR(VLOOKUP($P$10,INPUT!$A$48:$I$156,3,FALSE),"")</f>
        <v/>
      </c>
      <c r="S10" t="inlineStr"/>
      <c r="T10" t="inlineStr"/>
      <c r="U10">
        <f>"&lt;aside&gt;&lt;strong&gt;🅰1️⃣"&amp;$H$10&amp;"&lt;/strong&gt;&lt;br&gt;&lt;br&gt;🅰2️⃣___________&lt;br&gt;&lt;br&gt;🅱1️⃣___________&lt;br&gt;&lt;br&gt;🅱2️⃣___________&gt;&lt;/mark&gt;"</f>
        <v/>
      </c>
      <c r="V10" t="inlineStr"/>
      <c r="W10" t="inlineStr"/>
      <c r="X10" t="inlineStr"/>
      <c r="Y10">
        <f>INPUT!$B$7</f>
        <v/>
      </c>
      <c r="Z10">
        <f>INPUT!$B$8</f>
        <v/>
      </c>
      <c r="AA10">
        <f>IFERROR(VLOOKUP($P$10,INPUT!$A$48:$I$156,5,FALSE),"")</f>
        <v/>
      </c>
      <c r="AB10">
        <f>IFERROR(VLOOKUP($AA$10,INPUT!$A$18:$D$24,2,FALSE),"")</f>
        <v/>
      </c>
      <c r="AC10">
        <f>INPUT!$B$9</f>
        <v/>
      </c>
      <c r="AD10" t="inlineStr"/>
      <c r="AE10" t="inlineStr"/>
      <c r="AF10">
        <f>IFERROR(VLOOKUP($AA$10,INPUT!$A$18:$D$24,3,FALSE),"")</f>
        <v/>
      </c>
      <c r="AG10">
        <f>INPUT!$B$10</f>
        <v/>
      </c>
      <c r="AH10">
        <f>IFERROR(VLOOKUP($AA$10,INPUT!$A$18:$D$24,4,FALSE),"")</f>
        <v/>
      </c>
      <c r="AI10">
        <f>INPUT!$B$11</f>
        <v/>
      </c>
      <c r="AJ10">
        <f>INPUT!$B$12</f>
        <v/>
      </c>
      <c r="AK10">
        <f>INPUT!$B$13</f>
        <v/>
      </c>
      <c r="AL10">
        <f>INPUT!$B$14</f>
        <v/>
      </c>
      <c r="AM10">
        <f>INPUT!$B$15</f>
        <v/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>
        <f>IFERROR(VLOOKUP($P$10,INPUT!$A$48:$I$156,7,FALSE),"")</f>
        <v/>
      </c>
      <c r="BE10">
        <f>IFERROR(VLOOKUP($P$10,INPUT!$A$48:$I$156,8,FALSE),"")</f>
        <v/>
      </c>
      <c r="BF10">
        <f>IFERROR(VLOOKUP($P$10,INPUT!$A$48:$I$156,9,FALSE),"")</f>
        <v/>
      </c>
      <c r="BG10">
        <f>IF(TRIM($Q$10)&lt;&gt;"",TRIM($Q$10),TRIM($R$10))</f>
        <v/>
      </c>
    </row>
    <row r="11">
      <c r="A11">
        <f>INPUT!$B$5</f>
        <v/>
      </c>
      <c r="B11" t="inlineStr">
        <is>
          <t>02</t>
        </is>
      </c>
      <c r="C11" t="inlineStr"/>
      <c r="D11" t="inlineStr"/>
      <c r="E11" t="inlineStr"/>
      <c r="F11" t="inlineStr"/>
      <c r="G11">
        <f>INPUT!$B$6</f>
        <v/>
      </c>
      <c r="H11">
        <f>IFERROR(VLOOKUP($P$11,INPUT!$A$48:$I$156,6,FALSE),"")</f>
        <v/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wouldyourather_a0302</t>
        </is>
      </c>
      <c r="Q11">
        <f>IFERROR(VLOOKUP($P$11,INPUT!$A$48:$I$156,4,FALSE),"")</f>
        <v/>
      </c>
      <c r="R11">
        <f>IFERROR(VLOOKUP($P$11,INPUT!$A$48:$I$156,3,FALSE),"")</f>
        <v/>
      </c>
      <c r="S11" t="inlineStr"/>
      <c r="T11" t="inlineStr"/>
      <c r="U11">
        <f>"&lt;aside&gt;🅰1️⃣"&amp;$H$10&amp;"&lt;br&gt;&lt;br&gt;&lt;strong&gt;🅰2️⃣"&amp;$H$11&amp;"&lt;/strong&gt;&lt;br&gt;&lt;br&gt;🅱1️⃣___________&lt;br&gt;&lt;br&gt;🅱2️⃣___________&lt;/mark&gt;"</f>
        <v/>
      </c>
      <c r="V11" t="inlineStr"/>
      <c r="W11" t="inlineStr"/>
      <c r="X11" t="inlineStr"/>
      <c r="Y11">
        <f>INPUT!$B$7</f>
        <v/>
      </c>
      <c r="Z11">
        <f>INPUT!$B$8</f>
        <v/>
      </c>
      <c r="AA11">
        <f>IFERROR(VLOOKUP($P$11,INPUT!$A$48:$I$156,5,FALSE),"")</f>
        <v/>
      </c>
      <c r="AB11">
        <f>IFERROR(VLOOKUP($AA$11,INPUT!$A$18:$D$24,2,FALSE),"")</f>
        <v/>
      </c>
      <c r="AC11">
        <f>INPUT!$B$9</f>
        <v/>
      </c>
      <c r="AD11" t="inlineStr"/>
      <c r="AE11" t="inlineStr"/>
      <c r="AF11">
        <f>IFERROR(VLOOKUP($AA$11,INPUT!$A$18:$D$24,3,FALSE),"")</f>
        <v/>
      </c>
      <c r="AG11">
        <f>INPUT!$B$10</f>
        <v/>
      </c>
      <c r="AH11">
        <f>IFERROR(VLOOKUP($AA$11,INPUT!$A$18:$D$24,4,FALSE),"")</f>
        <v/>
      </c>
      <c r="AI11">
        <f>INPUT!$B$11</f>
        <v/>
      </c>
      <c r="AJ11">
        <f>INPUT!$B$12</f>
        <v/>
      </c>
      <c r="AK11">
        <f>INPUT!$B$13</f>
        <v/>
      </c>
      <c r="AL11">
        <f>INPUT!$B$14</f>
        <v/>
      </c>
      <c r="AM11">
        <f>INPUT!$B$15</f>
        <v/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>
        <f>IFERROR(VLOOKUP($P$11,INPUT!$A$48:$I$156,7,FALSE),"")</f>
        <v/>
      </c>
      <c r="BE11">
        <f>IFERROR(VLOOKUP($P$11,INPUT!$A$48:$I$156,8,FALSE),"")</f>
        <v/>
      </c>
      <c r="BF11">
        <f>IFERROR(VLOOKUP($P$11,INPUT!$A$48:$I$156,9,FALSE),"")</f>
        <v/>
      </c>
      <c r="BG11">
        <f>IF(TRIM($Q$11)&lt;&gt;"",TRIM($Q$11),TRIM($R$11))</f>
        <v/>
      </c>
    </row>
    <row r="12">
      <c r="A12">
        <f>INPUT!$B$5</f>
        <v/>
      </c>
      <c r="B12" t="inlineStr">
        <is>
          <t>03</t>
        </is>
      </c>
      <c r="C12" t="inlineStr"/>
      <c r="D12" t="inlineStr"/>
      <c r="E12" t="inlineStr"/>
      <c r="F12" t="inlineStr"/>
      <c r="G12">
        <f>INPUT!$B$6</f>
        <v/>
      </c>
      <c r="H12">
        <f>IFERROR(VLOOKUP($P$12,INPUT!$A$48:$I$156,6,FALSE),"")</f>
        <v/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wouldyourather_a0303</t>
        </is>
      </c>
      <c r="Q12">
        <f>IFERROR(VLOOKUP($P$12,INPUT!$A$48:$I$156,4,FALSE),"")</f>
        <v/>
      </c>
      <c r="R12">
        <f>IFERROR(VLOOKUP($P$12,INPUT!$A$48:$I$156,3,FALSE),"")</f>
        <v/>
      </c>
      <c r="S12" t="inlineStr"/>
      <c r="T12" t="inlineStr"/>
      <c r="U12">
        <f>"&lt;aside&gt;🅰1️⃣"&amp;$H$10&amp;"&lt;br&gt;&lt;br&gt;🅰2️⃣"&amp;$H$11&amp;"&lt;br&gt;&lt;br&gt;&lt;strong&gt;🅱1️⃣"&amp;$H$12&amp;"&lt;/strong&gt;&lt;br&gt;&lt;br&gt;🅱2️⃣___________&lt;/mark&gt;"</f>
        <v/>
      </c>
      <c r="V12" t="inlineStr"/>
      <c r="W12" t="inlineStr"/>
      <c r="X12" t="inlineStr"/>
      <c r="Y12">
        <f>INPUT!$B$7</f>
        <v/>
      </c>
      <c r="Z12">
        <f>INPUT!$B$8</f>
        <v/>
      </c>
      <c r="AA12">
        <f>IFERROR(VLOOKUP($P$12,INPUT!$A$48:$I$156,5,FALSE),"")</f>
        <v/>
      </c>
      <c r="AB12">
        <f>IFERROR(VLOOKUP($AA$12,INPUT!$A$18:$D$24,2,FALSE),"")</f>
        <v/>
      </c>
      <c r="AC12">
        <f>INPUT!$B$9</f>
        <v/>
      </c>
      <c r="AD12" t="inlineStr"/>
      <c r="AE12" t="inlineStr"/>
      <c r="AF12">
        <f>IFERROR(VLOOKUP($AA$12,INPUT!$A$18:$D$24,3,FALSE),"")</f>
        <v/>
      </c>
      <c r="AG12">
        <f>INPUT!$B$10</f>
        <v/>
      </c>
      <c r="AH12">
        <f>IFERROR(VLOOKUP($AA$12,INPUT!$A$18:$D$24,4,FALSE),"")</f>
        <v/>
      </c>
      <c r="AI12">
        <f>INPUT!$B$11</f>
        <v/>
      </c>
      <c r="AJ12">
        <f>INPUT!$B$12</f>
        <v/>
      </c>
      <c r="AK12">
        <f>INPUT!$B$13</f>
        <v/>
      </c>
      <c r="AL12">
        <f>INPUT!$B$14</f>
        <v/>
      </c>
      <c r="AM12">
        <f>INPUT!$B$15</f>
        <v/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>
        <f>IFERROR(VLOOKUP($P$12,INPUT!$A$48:$I$156,7,FALSE),"")</f>
        <v/>
      </c>
      <c r="BE12">
        <f>IFERROR(VLOOKUP($P$12,INPUT!$A$48:$I$156,8,FALSE),"")</f>
        <v/>
      </c>
      <c r="BF12">
        <f>IFERROR(VLOOKUP($P$12,INPUT!$A$48:$I$156,9,FALSE),"")</f>
        <v/>
      </c>
      <c r="BG12">
        <f>IF(TRIM($Q$12)&lt;&gt;"",TRIM($Q$12),TRIM($R$12))</f>
        <v/>
      </c>
    </row>
    <row r="13">
      <c r="A13">
        <f>INPUT!$B$5</f>
        <v/>
      </c>
      <c r="B13" t="inlineStr">
        <is>
          <t>04</t>
        </is>
      </c>
      <c r="C13" t="inlineStr"/>
      <c r="D13" t="inlineStr"/>
      <c r="E13" t="inlineStr"/>
      <c r="F13" t="inlineStr"/>
      <c r="G13">
        <f>INPUT!$B$6</f>
        <v/>
      </c>
      <c r="H13">
        <f>IFERROR(VLOOKUP($P$13,INPUT!$A$48:$I$156,6,FALSE),"")</f>
        <v/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wouldyourather_a0304</t>
        </is>
      </c>
      <c r="Q13">
        <f>IFERROR(VLOOKUP($P$13,INPUT!$A$48:$I$156,4,FALSE),"")</f>
        <v/>
      </c>
      <c r="R13">
        <f>IFERROR(VLOOKUP($P$13,INPUT!$A$48:$I$156,3,FALSE),"")</f>
        <v/>
      </c>
      <c r="S13" t="inlineStr"/>
      <c r="T13" t="inlineStr"/>
      <c r="U13">
        <f>"&lt;aside&gt;🅰1️⃣"&amp;$H$10&amp;"&lt;br&gt;&lt;br&gt;🅰2️⃣"&amp;$H$11&amp;"&lt;br&gt;&lt;br&gt;🅱1️⃣"&amp;$H$12&amp;"&lt;br&gt;&lt;br&gt;&lt;strong&gt;🅱2️⃣"&amp;$H$13&amp;"&lt;/mark&gt;"</f>
        <v/>
      </c>
      <c r="V13" t="inlineStr"/>
      <c r="W13" t="inlineStr"/>
      <c r="X13" t="inlineStr"/>
      <c r="Y13">
        <f>INPUT!$B$7</f>
        <v/>
      </c>
      <c r="Z13">
        <f>INPUT!$B$8</f>
        <v/>
      </c>
      <c r="AA13">
        <f>IFERROR(VLOOKUP($P$13,INPUT!$A$48:$I$156,5,FALSE),"")</f>
        <v/>
      </c>
      <c r="AB13">
        <f>IFERROR(VLOOKUP($AA$13,INPUT!$A$18:$D$24,2,FALSE),"")</f>
        <v/>
      </c>
      <c r="AC13">
        <f>INPUT!$B$9</f>
        <v/>
      </c>
      <c r="AD13" t="inlineStr"/>
      <c r="AE13" t="inlineStr"/>
      <c r="AF13">
        <f>IFERROR(VLOOKUP($AA$13,INPUT!$A$18:$D$24,3,FALSE),"")</f>
        <v/>
      </c>
      <c r="AG13">
        <f>INPUT!$B$10</f>
        <v/>
      </c>
      <c r="AH13">
        <f>IFERROR(VLOOKUP($AA$13,INPUT!$A$18:$D$24,4,FALSE),"")</f>
        <v/>
      </c>
      <c r="AI13">
        <f>INPUT!$B$11</f>
        <v/>
      </c>
      <c r="AJ13">
        <f>INPUT!$B$12</f>
        <v/>
      </c>
      <c r="AK13">
        <f>INPUT!$B$13</f>
        <v/>
      </c>
      <c r="AL13">
        <f>INPUT!$B$14</f>
        <v/>
      </c>
      <c r="AM13">
        <f>INPUT!$B$15</f>
        <v/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>
        <f>IFERROR(VLOOKUP($P$13,INPUT!$A$48:$I$156,7,FALSE),"")</f>
        <v/>
      </c>
      <c r="BE13">
        <f>IFERROR(VLOOKUP($P$13,INPUT!$A$48:$I$156,8,FALSE),"")</f>
        <v/>
      </c>
      <c r="BF13">
        <f>IFERROR(VLOOKUP($P$13,INPUT!$A$48:$I$156,9,FALSE),"")</f>
        <v/>
      </c>
      <c r="BG13">
        <f>IF(TRIM($Q$13)&lt;&gt;"",TRIM($Q$13),TRIM($R$13))</f>
        <v/>
      </c>
    </row>
    <row r="14">
      <c r="A14">
        <f>INPUT!$B$5</f>
        <v/>
      </c>
      <c r="B14" t="inlineStr">
        <is>
          <t>01</t>
        </is>
      </c>
      <c r="C14" t="inlineStr"/>
      <c r="D14" t="inlineStr"/>
      <c r="E14" t="inlineStr"/>
      <c r="F14" t="inlineStr"/>
      <c r="G14">
        <f>INPUT!$B$6</f>
        <v/>
      </c>
      <c r="H14">
        <f>IFERROR(VLOOKUP($P$14,INPUT!$A$48:$I$156,6,FALSE),"")</f>
        <v/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wouldyourather_b01_i01</t>
        </is>
      </c>
      <c r="Q14">
        <f>IFERROR(VLOOKUP($P$14,INPUT!$A$48:$I$156,4,FALSE),"")</f>
        <v/>
      </c>
      <c r="R14">
        <f>IFERROR(VLOOKUP($P$14,INPUT!$A$48:$I$156,3,FALSE),"")</f>
        <v/>
      </c>
      <c r="S14" t="inlineStr"/>
      <c r="T14" t="inlineStr"/>
      <c r="U14">
        <f>"&lt;aside&gt;&lt;strong&gt;🅰1️⃣"&amp;$H$14&amp;"&lt;/strong&gt;&lt;br&gt;&lt;br&gt;🅰2️⃣___________&lt;br&gt;&lt;br&gt;🅱1️⃣___________&lt;br&gt;&lt;br&gt;🅱2️⃣___________&gt;&lt;/mark&gt;"</f>
        <v/>
      </c>
      <c r="V14" t="inlineStr"/>
      <c r="W14" t="inlineStr"/>
      <c r="X14" t="inlineStr"/>
      <c r="Y14">
        <f>INPUT!$B$7</f>
        <v/>
      </c>
      <c r="Z14">
        <f>INPUT!$B$8</f>
        <v/>
      </c>
      <c r="AA14">
        <f>IFERROR(VLOOKUP($P$14,INPUT!$A$48:$I$156,5,FALSE),"")</f>
        <v/>
      </c>
      <c r="AB14">
        <f>IFERROR(VLOOKUP($AA$14,INPUT!$A$18:$D$24,2,FALSE),"")</f>
        <v/>
      </c>
      <c r="AC14">
        <f>INPUT!$B$9</f>
        <v/>
      </c>
      <c r="AD14" t="inlineStr"/>
      <c r="AE14" t="inlineStr"/>
      <c r="AF14">
        <f>IFERROR(VLOOKUP($AA$14,INPUT!$A$18:$D$24,3,FALSE),"")</f>
        <v/>
      </c>
      <c r="AG14">
        <f>INPUT!$B$10</f>
        <v/>
      </c>
      <c r="AH14">
        <f>IFERROR(VLOOKUP($AA$14,INPUT!$A$18:$D$24,4,FALSE),"")</f>
        <v/>
      </c>
      <c r="AI14">
        <f>INPUT!$B$11</f>
        <v/>
      </c>
      <c r="AJ14">
        <f>INPUT!$B$12</f>
        <v/>
      </c>
      <c r="AK14">
        <f>INPUT!$B$13</f>
        <v/>
      </c>
      <c r="AL14">
        <f>INPUT!$B$14</f>
        <v/>
      </c>
      <c r="AM14">
        <f>INPUT!$B$15</f>
        <v/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>
        <f>IFERROR(VLOOKUP($P$14,INPUT!$A$48:$I$156,7,FALSE),"")</f>
        <v/>
      </c>
      <c r="BE14">
        <f>IFERROR(VLOOKUP($P$14,INPUT!$A$48:$I$156,8,FALSE),"")</f>
        <v/>
      </c>
      <c r="BF14">
        <f>IFERROR(VLOOKUP($P$14,INPUT!$A$48:$I$156,9,FALSE),"")</f>
        <v/>
      </c>
      <c r="BG14">
        <f>IF(TRIM($Q$14)&lt;&gt;"",TRIM($Q$14),TRIM($R$14))</f>
        <v/>
      </c>
    </row>
    <row r="15">
      <c r="A15">
        <f>INPUT!$B$5</f>
        <v/>
      </c>
      <c r="B15" t="inlineStr">
        <is>
          <t>02</t>
        </is>
      </c>
      <c r="C15" t="inlineStr"/>
      <c r="D15" t="inlineStr"/>
      <c r="E15" t="inlineStr"/>
      <c r="F15" t="inlineStr"/>
      <c r="G15">
        <f>INPUT!$B$6</f>
        <v/>
      </c>
      <c r="H15">
        <f>IFERROR(VLOOKUP($P$15,INPUT!$A$48:$I$156,6,FALSE),"")</f>
        <v/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wouldyourather_b01_i02</t>
        </is>
      </c>
      <c r="Q15">
        <f>IFERROR(VLOOKUP($P$15,INPUT!$A$48:$I$156,4,FALSE),"")</f>
        <v/>
      </c>
      <c r="R15">
        <f>IFERROR(VLOOKUP($P$15,INPUT!$A$48:$I$156,3,FALSE),"")</f>
        <v/>
      </c>
      <c r="S15" t="inlineStr"/>
      <c r="T15" t="inlineStr"/>
      <c r="U15">
        <f>"&lt;aside&gt;🅰1️⃣"&amp;$H$14&amp;"&lt;br&gt;&lt;br&gt;&lt;strong&gt;🅰2️⃣"&amp;$H$15&amp;"&lt;/strong&gt;&lt;br&gt;&lt;br&gt;🅱1️⃣___________&lt;br&gt;&lt;br&gt;🅱2️⃣___________&lt;/mark&gt;"</f>
        <v/>
      </c>
      <c r="V15" t="inlineStr"/>
      <c r="W15" t="inlineStr"/>
      <c r="X15" t="inlineStr"/>
      <c r="Y15">
        <f>INPUT!$B$7</f>
        <v/>
      </c>
      <c r="Z15">
        <f>INPUT!$B$8</f>
        <v/>
      </c>
      <c r="AA15">
        <f>IFERROR(VLOOKUP($P$15,INPUT!$A$48:$I$156,5,FALSE),"")</f>
        <v/>
      </c>
      <c r="AB15">
        <f>IFERROR(VLOOKUP($AA$15,INPUT!$A$18:$D$24,2,FALSE),"")</f>
        <v/>
      </c>
      <c r="AC15">
        <f>INPUT!$B$9</f>
        <v/>
      </c>
      <c r="AD15" t="inlineStr"/>
      <c r="AE15" t="inlineStr"/>
      <c r="AF15">
        <f>IFERROR(VLOOKUP($AA$15,INPUT!$A$18:$D$24,3,FALSE),"")</f>
        <v/>
      </c>
      <c r="AG15">
        <f>INPUT!$B$10</f>
        <v/>
      </c>
      <c r="AH15">
        <f>IFERROR(VLOOKUP($AA$15,INPUT!$A$18:$D$24,4,FALSE),"")</f>
        <v/>
      </c>
      <c r="AI15">
        <f>INPUT!$B$11</f>
        <v/>
      </c>
      <c r="AJ15">
        <f>INPUT!$B$12</f>
        <v/>
      </c>
      <c r="AK15">
        <f>INPUT!$B$13</f>
        <v/>
      </c>
      <c r="AL15">
        <f>INPUT!$B$14</f>
        <v/>
      </c>
      <c r="AM15">
        <f>INPUT!$B$15</f>
        <v/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>
        <f>IFERROR(VLOOKUP($P$15,INPUT!$A$48:$I$156,7,FALSE),"")</f>
        <v/>
      </c>
      <c r="BE15">
        <f>IFERROR(VLOOKUP($P$15,INPUT!$A$48:$I$156,8,FALSE),"")</f>
        <v/>
      </c>
      <c r="BF15">
        <f>IFERROR(VLOOKUP($P$15,INPUT!$A$48:$I$156,9,FALSE),"")</f>
        <v/>
      </c>
      <c r="BG15">
        <f>IF(TRIM($Q$15)&lt;&gt;"",TRIM($Q$15),TRIM($R$15))</f>
        <v/>
      </c>
    </row>
    <row r="16">
      <c r="A16">
        <f>INPUT!$B$5</f>
        <v/>
      </c>
      <c r="B16" t="inlineStr">
        <is>
          <t>03</t>
        </is>
      </c>
      <c r="C16" t="inlineStr"/>
      <c r="D16" t="inlineStr"/>
      <c r="E16" t="inlineStr"/>
      <c r="F16" t="inlineStr"/>
      <c r="G16">
        <f>INPUT!$B$6</f>
        <v/>
      </c>
      <c r="H16">
        <f>IFERROR(VLOOKUP($P$16,INPUT!$A$48:$I$156,6,FALSE),"")</f>
        <v/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wouldyourather_b01_i03</t>
        </is>
      </c>
      <c r="Q16">
        <f>IFERROR(VLOOKUP($P$16,INPUT!$A$48:$I$156,4,FALSE),"")</f>
        <v/>
      </c>
      <c r="R16">
        <f>IFERROR(VLOOKUP($P$16,INPUT!$A$48:$I$156,3,FALSE),"")</f>
        <v/>
      </c>
      <c r="S16" t="inlineStr"/>
      <c r="T16" t="inlineStr"/>
      <c r="U16">
        <f>"&lt;aside&gt;🅰1️⃣"&amp;$H$14&amp;"&lt;br&gt;&lt;br&gt;🅰2️⃣"&amp;$H$15&amp;"&lt;br&gt;&lt;br&gt;&lt;strong&gt;🅱1️⃣"&amp;$H$16&amp;"&lt;/strong&gt;&lt;br&gt;&lt;br&gt;🅱2️⃣___________&lt;/mark&gt;"</f>
        <v/>
      </c>
      <c r="V16" t="inlineStr"/>
      <c r="W16" t="inlineStr"/>
      <c r="X16" t="inlineStr"/>
      <c r="Y16">
        <f>INPUT!$B$7</f>
        <v/>
      </c>
      <c r="Z16">
        <f>INPUT!$B$8</f>
        <v/>
      </c>
      <c r="AA16">
        <f>IFERROR(VLOOKUP($P$16,INPUT!$A$48:$I$156,5,FALSE),"")</f>
        <v/>
      </c>
      <c r="AB16">
        <f>IFERROR(VLOOKUP($AA$16,INPUT!$A$18:$D$24,2,FALSE),"")</f>
        <v/>
      </c>
      <c r="AC16">
        <f>INPUT!$B$9</f>
        <v/>
      </c>
      <c r="AD16" t="inlineStr"/>
      <c r="AE16" t="inlineStr"/>
      <c r="AF16">
        <f>IFERROR(VLOOKUP($AA$16,INPUT!$A$18:$D$24,3,FALSE),"")</f>
        <v/>
      </c>
      <c r="AG16">
        <f>INPUT!$B$10</f>
        <v/>
      </c>
      <c r="AH16">
        <f>IFERROR(VLOOKUP($AA$16,INPUT!$A$18:$D$24,4,FALSE),"")</f>
        <v/>
      </c>
      <c r="AI16">
        <f>INPUT!$B$11</f>
        <v/>
      </c>
      <c r="AJ16">
        <f>INPUT!$B$12</f>
        <v/>
      </c>
      <c r="AK16">
        <f>INPUT!$B$13</f>
        <v/>
      </c>
      <c r="AL16">
        <f>INPUT!$B$14</f>
        <v/>
      </c>
      <c r="AM16">
        <f>INPUT!$B$15</f>
        <v/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>
        <f>IFERROR(VLOOKUP($P$16,INPUT!$A$48:$I$156,7,FALSE),"")</f>
        <v/>
      </c>
      <c r="BE16">
        <f>IFERROR(VLOOKUP($P$16,INPUT!$A$48:$I$156,8,FALSE),"")</f>
        <v/>
      </c>
      <c r="BF16">
        <f>IFERROR(VLOOKUP($P$16,INPUT!$A$48:$I$156,9,FALSE),"")</f>
        <v/>
      </c>
      <c r="BG16">
        <f>IF(TRIM($Q$16)&lt;&gt;"",TRIM($Q$16),TRIM($R$16))</f>
        <v/>
      </c>
    </row>
    <row r="17">
      <c r="A17">
        <f>INPUT!$B$5</f>
        <v/>
      </c>
      <c r="B17" t="inlineStr">
        <is>
          <t>04</t>
        </is>
      </c>
      <c r="C17" t="inlineStr"/>
      <c r="D17" t="inlineStr"/>
      <c r="E17" t="inlineStr"/>
      <c r="F17" t="inlineStr"/>
      <c r="G17">
        <f>INPUT!$B$6</f>
        <v/>
      </c>
      <c r="H17">
        <f>IFERROR(VLOOKUP($P$17,INPUT!$A$48:$I$156,6,FALSE),"")</f>
        <v/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wouldyourather_b01_i04</t>
        </is>
      </c>
      <c r="Q17">
        <f>IFERROR(VLOOKUP($P$17,INPUT!$A$48:$I$156,4,FALSE),"")</f>
        <v/>
      </c>
      <c r="R17">
        <f>IFERROR(VLOOKUP($P$17,INPUT!$A$48:$I$156,3,FALSE),"")</f>
        <v/>
      </c>
      <c r="S17" t="inlineStr"/>
      <c r="T17" t="inlineStr"/>
      <c r="U17">
        <f>"&lt;aside&gt;🅰1️⃣"&amp;$H$14&amp;"&lt;br&gt;&lt;br&gt;🅰2️⃣"&amp;$H$15&amp;"&lt;br&gt;&lt;br&gt;🅱1️⃣"&amp;$H$16&amp;"&lt;br&gt;&lt;br&gt;&lt;strong&gt;🅱2️⃣"&amp;$H$17&amp;"&lt;/mark&gt;"</f>
        <v/>
      </c>
      <c r="V17" t="inlineStr"/>
      <c r="W17" t="inlineStr"/>
      <c r="X17" t="inlineStr"/>
      <c r="Y17">
        <f>INPUT!$B$7</f>
        <v/>
      </c>
      <c r="Z17">
        <f>INPUT!$B$8</f>
        <v/>
      </c>
      <c r="AA17">
        <f>IFERROR(VLOOKUP($P$17,INPUT!$A$48:$I$156,5,FALSE),"")</f>
        <v/>
      </c>
      <c r="AB17">
        <f>IFERROR(VLOOKUP($AA$17,INPUT!$A$18:$D$24,2,FALSE),"")</f>
        <v/>
      </c>
      <c r="AC17">
        <f>INPUT!$B$9</f>
        <v/>
      </c>
      <c r="AD17" t="inlineStr"/>
      <c r="AE17" t="inlineStr"/>
      <c r="AF17">
        <f>IFERROR(VLOOKUP($AA$17,INPUT!$A$18:$D$24,3,FALSE),"")</f>
        <v/>
      </c>
      <c r="AG17">
        <f>INPUT!$B$10</f>
        <v/>
      </c>
      <c r="AH17">
        <f>IFERROR(VLOOKUP($AA$17,INPUT!$A$18:$D$24,4,FALSE),"")</f>
        <v/>
      </c>
      <c r="AI17">
        <f>INPUT!$B$11</f>
        <v/>
      </c>
      <c r="AJ17">
        <f>INPUT!$B$12</f>
        <v/>
      </c>
      <c r="AK17">
        <f>INPUT!$B$13</f>
        <v/>
      </c>
      <c r="AL17">
        <f>INPUT!$B$14</f>
        <v/>
      </c>
      <c r="AM17">
        <f>INPUT!$B$15</f>
        <v/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>
        <f>IFERROR(VLOOKUP($P$17,INPUT!$A$48:$I$156,7,FALSE),"")</f>
        <v/>
      </c>
      <c r="BE17">
        <f>IFERROR(VLOOKUP($P$17,INPUT!$A$48:$I$156,8,FALSE),"")</f>
        <v/>
      </c>
      <c r="BF17">
        <f>IFERROR(VLOOKUP($P$17,INPUT!$A$48:$I$156,9,FALSE),"")</f>
        <v/>
      </c>
      <c r="BG17">
        <f>IF(TRIM($Q$17)&lt;&gt;"",TRIM($Q$17),TRIM($R$17))</f>
        <v/>
      </c>
    </row>
    <row r="18">
      <c r="A18">
        <f>INPUT!$B$5</f>
        <v/>
      </c>
      <c r="B18" t="inlineStr">
        <is>
          <t>01</t>
        </is>
      </c>
      <c r="C18" t="inlineStr"/>
      <c r="D18" t="inlineStr"/>
      <c r="E18" t="inlineStr"/>
      <c r="F18" t="inlineStr"/>
      <c r="G18">
        <f>INPUT!$B$6</f>
        <v/>
      </c>
      <c r="H18">
        <f>IFERROR(VLOOKUP($P$18,INPUT!$A$48:$I$156,6,FALSE),"")</f>
        <v/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wouldyourather_b01_ii01</t>
        </is>
      </c>
      <c r="Q18">
        <f>IFERROR(VLOOKUP($P$18,INPUT!$A$48:$I$156,4,FALSE),"")</f>
        <v/>
      </c>
      <c r="R18">
        <f>IFERROR(VLOOKUP($P$18,INPUT!$A$48:$I$156,3,FALSE),"")</f>
        <v/>
      </c>
      <c r="S18" t="inlineStr"/>
      <c r="T18" t="inlineStr"/>
      <c r="U18">
        <f>"&lt;aside&gt;&lt;strong&gt;🅰1️⃣"&amp;$H$18&amp;"&lt;/strong&gt;&lt;br&gt;&lt;br&gt;🅰2️⃣___________&lt;br&gt;&lt;br&gt;🅱1️⃣___________&lt;br&gt;&lt;br&gt;🅱2️⃣___________&gt;&lt;/mark&gt;"</f>
        <v/>
      </c>
      <c r="V18" t="inlineStr"/>
      <c r="W18" t="inlineStr"/>
      <c r="X18" t="inlineStr"/>
      <c r="Y18">
        <f>INPUT!$B$7</f>
        <v/>
      </c>
      <c r="Z18">
        <f>INPUT!$B$8</f>
        <v/>
      </c>
      <c r="AA18">
        <f>IFERROR(VLOOKUP($P$18,INPUT!$A$48:$I$156,5,FALSE),"")</f>
        <v/>
      </c>
      <c r="AB18">
        <f>IFERROR(VLOOKUP($AA$18,INPUT!$A$18:$D$24,2,FALSE),"")</f>
        <v/>
      </c>
      <c r="AC18">
        <f>INPUT!$B$9</f>
        <v/>
      </c>
      <c r="AD18" t="inlineStr"/>
      <c r="AE18" t="inlineStr"/>
      <c r="AF18">
        <f>IFERROR(VLOOKUP($AA$18,INPUT!$A$18:$D$24,3,FALSE),"")</f>
        <v/>
      </c>
      <c r="AG18">
        <f>INPUT!$B$10</f>
        <v/>
      </c>
      <c r="AH18">
        <f>IFERROR(VLOOKUP($AA$18,INPUT!$A$18:$D$24,4,FALSE),"")</f>
        <v/>
      </c>
      <c r="AI18">
        <f>INPUT!$B$11</f>
        <v/>
      </c>
      <c r="AJ18">
        <f>INPUT!$B$12</f>
        <v/>
      </c>
      <c r="AK18">
        <f>INPUT!$B$13</f>
        <v/>
      </c>
      <c r="AL18">
        <f>INPUT!$B$14</f>
        <v/>
      </c>
      <c r="AM18">
        <f>INPUT!$B$15</f>
        <v/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>
        <f>IFERROR(VLOOKUP($P$18,INPUT!$A$48:$I$156,7,FALSE),"")</f>
        <v/>
      </c>
      <c r="BE18">
        <f>IFERROR(VLOOKUP($P$18,INPUT!$A$48:$I$156,8,FALSE),"")</f>
        <v/>
      </c>
      <c r="BF18">
        <f>IFERROR(VLOOKUP($P$18,INPUT!$A$48:$I$156,9,FALSE),"")</f>
        <v/>
      </c>
      <c r="BG18">
        <f>IF(TRIM($Q$18)&lt;&gt;"",TRIM($Q$18),TRIM($R$18))</f>
        <v/>
      </c>
    </row>
    <row r="19">
      <c r="A19">
        <f>INPUT!$B$5</f>
        <v/>
      </c>
      <c r="B19" t="inlineStr">
        <is>
          <t>02</t>
        </is>
      </c>
      <c r="C19" t="inlineStr"/>
      <c r="D19" t="inlineStr"/>
      <c r="E19" t="inlineStr"/>
      <c r="F19" t="inlineStr"/>
      <c r="G19">
        <f>INPUT!$B$6</f>
        <v/>
      </c>
      <c r="H19">
        <f>IFERROR(VLOOKUP($P$19,INPUT!$A$48:$I$156,6,FALSE),"")</f>
        <v/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wouldyourather_b01_ii02</t>
        </is>
      </c>
      <c r="Q19">
        <f>IFERROR(VLOOKUP($P$19,INPUT!$A$48:$I$156,4,FALSE),"")</f>
        <v/>
      </c>
      <c r="R19">
        <f>IFERROR(VLOOKUP($P$19,INPUT!$A$48:$I$156,3,FALSE),"")</f>
        <v/>
      </c>
      <c r="S19" t="inlineStr"/>
      <c r="T19" t="inlineStr"/>
      <c r="U19">
        <f>"&lt;aside&gt;🅰1️⃣"&amp;$H$18&amp;"&lt;br&gt;&lt;br&gt;&lt;strong&gt;🅰2️⃣"&amp;$H$19&amp;"&lt;/strong&gt;&lt;br&gt;&lt;br&gt;🅱1️⃣___________&lt;br&gt;&lt;br&gt;🅱2️⃣___________&lt;/mark&gt;"</f>
        <v/>
      </c>
      <c r="V19" t="inlineStr"/>
      <c r="W19" t="inlineStr"/>
      <c r="X19" t="inlineStr"/>
      <c r="Y19">
        <f>INPUT!$B$7</f>
        <v/>
      </c>
      <c r="Z19">
        <f>INPUT!$B$8</f>
        <v/>
      </c>
      <c r="AA19">
        <f>IFERROR(VLOOKUP($P$19,INPUT!$A$48:$I$156,5,FALSE),"")</f>
        <v/>
      </c>
      <c r="AB19">
        <f>IFERROR(VLOOKUP($AA$19,INPUT!$A$18:$D$24,2,FALSE),"")</f>
        <v/>
      </c>
      <c r="AC19">
        <f>INPUT!$B$9</f>
        <v/>
      </c>
      <c r="AD19" t="inlineStr"/>
      <c r="AE19" t="inlineStr"/>
      <c r="AF19">
        <f>IFERROR(VLOOKUP($AA$19,INPUT!$A$18:$D$24,3,FALSE),"")</f>
        <v/>
      </c>
      <c r="AG19">
        <f>INPUT!$B$10</f>
        <v/>
      </c>
      <c r="AH19">
        <f>IFERROR(VLOOKUP($AA$19,INPUT!$A$18:$D$24,4,FALSE),"")</f>
        <v/>
      </c>
      <c r="AI19">
        <f>INPUT!$B$11</f>
        <v/>
      </c>
      <c r="AJ19">
        <f>INPUT!$B$12</f>
        <v/>
      </c>
      <c r="AK19">
        <f>INPUT!$B$13</f>
        <v/>
      </c>
      <c r="AL19">
        <f>INPUT!$B$14</f>
        <v/>
      </c>
      <c r="AM19">
        <f>INPUT!$B$15</f>
        <v/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>
        <f>IFERROR(VLOOKUP($P$19,INPUT!$A$48:$I$156,7,FALSE),"")</f>
        <v/>
      </c>
      <c r="BE19">
        <f>IFERROR(VLOOKUP($P$19,INPUT!$A$48:$I$156,8,FALSE),"")</f>
        <v/>
      </c>
      <c r="BF19">
        <f>IFERROR(VLOOKUP($P$19,INPUT!$A$48:$I$156,9,FALSE),"")</f>
        <v/>
      </c>
      <c r="BG19">
        <f>IF(TRIM($Q$19)&lt;&gt;"",TRIM($Q$19),TRIM($R$19))</f>
        <v/>
      </c>
    </row>
    <row r="20">
      <c r="A20">
        <f>INPUT!$B$5</f>
        <v/>
      </c>
      <c r="B20" t="inlineStr">
        <is>
          <t>03</t>
        </is>
      </c>
      <c r="C20" t="inlineStr"/>
      <c r="D20" t="inlineStr"/>
      <c r="E20" t="inlineStr"/>
      <c r="F20" t="inlineStr"/>
      <c r="G20">
        <f>INPUT!$B$6</f>
        <v/>
      </c>
      <c r="H20">
        <f>IFERROR(VLOOKUP($P$20,INPUT!$A$48:$I$156,6,FALSE),"")</f>
        <v/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wouldyourather_b01_ii03</t>
        </is>
      </c>
      <c r="Q20">
        <f>IFERROR(VLOOKUP($P$20,INPUT!$A$48:$I$156,4,FALSE),"")</f>
        <v/>
      </c>
      <c r="R20">
        <f>IFERROR(VLOOKUP($P$20,INPUT!$A$48:$I$156,3,FALSE),"")</f>
        <v/>
      </c>
      <c r="S20" t="inlineStr"/>
      <c r="T20" t="inlineStr"/>
      <c r="U20">
        <f>"&lt;aside&gt;🅰1️⃣"&amp;$H$18&amp;"&lt;br&gt;&lt;br&gt;🅰2️⃣"&amp;$H$19&amp;"&lt;br&gt;&lt;br&gt;&lt;strong&gt;🅱1️⃣"&amp;$H$20&amp;"&lt;/strong&gt;&lt;br&gt;&lt;br&gt;🅱2️⃣___________&lt;/mark&gt;"</f>
        <v/>
      </c>
      <c r="V20" t="inlineStr"/>
      <c r="W20" t="inlineStr"/>
      <c r="X20" t="inlineStr"/>
      <c r="Y20">
        <f>INPUT!$B$7</f>
        <v/>
      </c>
      <c r="Z20">
        <f>INPUT!$B$8</f>
        <v/>
      </c>
      <c r="AA20">
        <f>IFERROR(VLOOKUP($P$20,INPUT!$A$48:$I$156,5,FALSE),"")</f>
        <v/>
      </c>
      <c r="AB20">
        <f>IFERROR(VLOOKUP($AA$20,INPUT!$A$18:$D$24,2,FALSE),"")</f>
        <v/>
      </c>
      <c r="AC20">
        <f>INPUT!$B$9</f>
        <v/>
      </c>
      <c r="AD20" t="inlineStr"/>
      <c r="AE20" t="inlineStr"/>
      <c r="AF20">
        <f>IFERROR(VLOOKUP($AA$20,INPUT!$A$18:$D$24,3,FALSE),"")</f>
        <v/>
      </c>
      <c r="AG20">
        <f>INPUT!$B$10</f>
        <v/>
      </c>
      <c r="AH20">
        <f>IFERROR(VLOOKUP($AA$20,INPUT!$A$18:$D$24,4,FALSE),"")</f>
        <v/>
      </c>
      <c r="AI20">
        <f>INPUT!$B$11</f>
        <v/>
      </c>
      <c r="AJ20">
        <f>INPUT!$B$12</f>
        <v/>
      </c>
      <c r="AK20">
        <f>INPUT!$B$13</f>
        <v/>
      </c>
      <c r="AL20">
        <f>INPUT!$B$14</f>
        <v/>
      </c>
      <c r="AM20">
        <f>INPUT!$B$15</f>
        <v/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>
        <f>IFERROR(VLOOKUP($P$20,INPUT!$A$48:$I$156,7,FALSE),"")</f>
        <v/>
      </c>
      <c r="BE20">
        <f>IFERROR(VLOOKUP($P$20,INPUT!$A$48:$I$156,8,FALSE),"")</f>
        <v/>
      </c>
      <c r="BF20">
        <f>IFERROR(VLOOKUP($P$20,INPUT!$A$48:$I$156,9,FALSE),"")</f>
        <v/>
      </c>
      <c r="BG20">
        <f>IF(TRIM($Q$20)&lt;&gt;"",TRIM($Q$20),TRIM($R$20))</f>
        <v/>
      </c>
    </row>
    <row r="21">
      <c r="A21">
        <f>INPUT!$B$5</f>
        <v/>
      </c>
      <c r="B21" t="inlineStr">
        <is>
          <t>04</t>
        </is>
      </c>
      <c r="C21" t="inlineStr"/>
      <c r="D21" t="inlineStr"/>
      <c r="E21" t="inlineStr"/>
      <c r="F21" t="inlineStr"/>
      <c r="G21">
        <f>INPUT!$B$6</f>
        <v/>
      </c>
      <c r="H21">
        <f>IFERROR(VLOOKUP($P$21,INPUT!$A$48:$I$156,6,FALSE),"")</f>
        <v/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wouldyourather_b01_ii04</t>
        </is>
      </c>
      <c r="Q21">
        <f>IFERROR(VLOOKUP($P$21,INPUT!$A$48:$I$156,4,FALSE),"")</f>
        <v/>
      </c>
      <c r="R21">
        <f>IFERROR(VLOOKUP($P$21,INPUT!$A$48:$I$156,3,FALSE),"")</f>
        <v/>
      </c>
      <c r="S21" t="inlineStr"/>
      <c r="T21" t="inlineStr"/>
      <c r="U21">
        <f>"&lt;aside&gt;🅰1️⃣"&amp;$H$18&amp;"&lt;br&gt;&lt;br&gt;🅰2️⃣"&amp;$H$19&amp;"&lt;br&gt;&lt;br&gt;🅱1️⃣"&amp;$H$20&amp;"&lt;br&gt;&lt;br&gt;&lt;strong&gt;🅱2️⃣"&amp;$H$21&amp;"&lt;/mark&gt;"</f>
        <v/>
      </c>
      <c r="V21" t="inlineStr"/>
      <c r="W21" t="inlineStr"/>
      <c r="X21" t="inlineStr"/>
      <c r="Y21">
        <f>INPUT!$B$7</f>
        <v/>
      </c>
      <c r="Z21">
        <f>INPUT!$B$8</f>
        <v/>
      </c>
      <c r="AA21">
        <f>IFERROR(VLOOKUP($P$21,INPUT!$A$48:$I$156,5,FALSE),"")</f>
        <v/>
      </c>
      <c r="AB21">
        <f>IFERROR(VLOOKUP($AA$21,INPUT!$A$18:$D$24,2,FALSE),"")</f>
        <v/>
      </c>
      <c r="AC21">
        <f>INPUT!$B$9</f>
        <v/>
      </c>
      <c r="AD21" t="inlineStr"/>
      <c r="AE21" t="inlineStr"/>
      <c r="AF21">
        <f>IFERROR(VLOOKUP($AA$21,INPUT!$A$18:$D$24,3,FALSE),"")</f>
        <v/>
      </c>
      <c r="AG21">
        <f>INPUT!$B$10</f>
        <v/>
      </c>
      <c r="AH21">
        <f>IFERROR(VLOOKUP($AA$21,INPUT!$A$18:$D$24,4,FALSE),"")</f>
        <v/>
      </c>
      <c r="AI21">
        <f>INPUT!$B$11</f>
        <v/>
      </c>
      <c r="AJ21">
        <f>INPUT!$B$12</f>
        <v/>
      </c>
      <c r="AK21">
        <f>INPUT!$B$13</f>
        <v/>
      </c>
      <c r="AL21">
        <f>INPUT!$B$14</f>
        <v/>
      </c>
      <c r="AM21">
        <f>INPUT!$B$15</f>
        <v/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>
        <f>IFERROR(VLOOKUP($P$21,INPUT!$A$48:$I$156,7,FALSE),"")</f>
        <v/>
      </c>
      <c r="BE21">
        <f>IFERROR(VLOOKUP($P$21,INPUT!$A$48:$I$156,8,FALSE),"")</f>
        <v/>
      </c>
      <c r="BF21">
        <f>IFERROR(VLOOKUP($P$21,INPUT!$A$48:$I$156,9,FALSE),"")</f>
        <v/>
      </c>
      <c r="BG21">
        <f>IF(TRIM($Q$21)&lt;&gt;"",TRIM($Q$21),TRIM($R$21))</f>
        <v/>
      </c>
    </row>
    <row r="22">
      <c r="A22">
        <f>INPUT!$B$5</f>
        <v/>
      </c>
      <c r="B22" t="inlineStr">
        <is>
          <t>01</t>
        </is>
      </c>
      <c r="C22" t="inlineStr"/>
      <c r="D22" t="inlineStr"/>
      <c r="E22" t="inlineStr"/>
      <c r="F22" t="inlineStr"/>
      <c r="G22">
        <f>INPUT!$B$6</f>
        <v/>
      </c>
      <c r="H22">
        <f>IFERROR(VLOOKUP($P$22,INPUT!$A$48:$I$156,6,FALSE),"")</f>
        <v/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wouldyourather_b02_i01</t>
        </is>
      </c>
      <c r="Q22">
        <f>IFERROR(VLOOKUP($P$22,INPUT!$A$48:$I$156,4,FALSE),"")</f>
        <v/>
      </c>
      <c r="R22">
        <f>IFERROR(VLOOKUP($P$22,INPUT!$A$48:$I$156,3,FALSE),"")</f>
        <v/>
      </c>
      <c r="S22" t="inlineStr"/>
      <c r="T22" t="inlineStr"/>
      <c r="U22">
        <f>"&lt;aside&gt;&lt;strong&gt;🅰1️⃣"&amp;$H$22&amp;"&lt;/strong&gt;&lt;br&gt;&lt;br&gt;🅰2️⃣___________&lt;br&gt;&lt;br&gt;🅱1️⃣___________&lt;br&gt;&lt;br&gt;🅱2️⃣___________&gt;&lt;/mark&gt;"</f>
        <v/>
      </c>
      <c r="V22" t="inlineStr"/>
      <c r="W22" t="inlineStr"/>
      <c r="X22" t="inlineStr"/>
      <c r="Y22">
        <f>INPUT!$B$7</f>
        <v/>
      </c>
      <c r="Z22">
        <f>INPUT!$B$8</f>
        <v/>
      </c>
      <c r="AA22">
        <f>IFERROR(VLOOKUP($P$22,INPUT!$A$48:$I$156,5,FALSE),"")</f>
        <v/>
      </c>
      <c r="AB22">
        <f>IFERROR(VLOOKUP($AA$22,INPUT!$A$18:$D$24,2,FALSE),"")</f>
        <v/>
      </c>
      <c r="AC22">
        <f>INPUT!$B$9</f>
        <v/>
      </c>
      <c r="AD22" t="inlineStr"/>
      <c r="AE22" t="inlineStr"/>
      <c r="AF22">
        <f>IFERROR(VLOOKUP($AA$22,INPUT!$A$18:$D$24,3,FALSE),"")</f>
        <v/>
      </c>
      <c r="AG22">
        <f>INPUT!$B$10</f>
        <v/>
      </c>
      <c r="AH22">
        <f>IFERROR(VLOOKUP($AA$22,INPUT!$A$18:$D$24,4,FALSE),"")</f>
        <v/>
      </c>
      <c r="AI22">
        <f>INPUT!$B$11</f>
        <v/>
      </c>
      <c r="AJ22">
        <f>INPUT!$B$12</f>
        <v/>
      </c>
      <c r="AK22">
        <f>INPUT!$B$13</f>
        <v/>
      </c>
      <c r="AL22">
        <f>INPUT!$B$14</f>
        <v/>
      </c>
      <c r="AM22">
        <f>INPUT!$B$15</f>
        <v/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>
        <f>IFERROR(VLOOKUP($P$22,INPUT!$A$48:$I$156,7,FALSE),"")</f>
        <v/>
      </c>
      <c r="BE22">
        <f>IFERROR(VLOOKUP($P$22,INPUT!$A$48:$I$156,8,FALSE),"")</f>
        <v/>
      </c>
      <c r="BF22">
        <f>IFERROR(VLOOKUP($P$22,INPUT!$A$48:$I$156,9,FALSE),"")</f>
        <v/>
      </c>
      <c r="BG22">
        <f>IF(TRIM($Q$22)&lt;&gt;"",TRIM($Q$22),TRIM($R$22))</f>
        <v/>
      </c>
    </row>
    <row r="23">
      <c r="A23">
        <f>INPUT!$B$5</f>
        <v/>
      </c>
      <c r="B23" t="inlineStr">
        <is>
          <t>02</t>
        </is>
      </c>
      <c r="C23" t="inlineStr"/>
      <c r="D23" t="inlineStr"/>
      <c r="E23" t="inlineStr"/>
      <c r="F23" t="inlineStr"/>
      <c r="G23">
        <f>INPUT!$B$6</f>
        <v/>
      </c>
      <c r="H23">
        <f>IFERROR(VLOOKUP($P$23,INPUT!$A$48:$I$156,6,FALSE),"")</f>
        <v/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wouldyourather_b02_i02</t>
        </is>
      </c>
      <c r="Q23">
        <f>IFERROR(VLOOKUP($P$23,INPUT!$A$48:$I$156,4,FALSE),"")</f>
        <v/>
      </c>
      <c r="R23">
        <f>IFERROR(VLOOKUP($P$23,INPUT!$A$48:$I$156,3,FALSE),"")</f>
        <v/>
      </c>
      <c r="S23" t="inlineStr"/>
      <c r="T23" t="inlineStr"/>
      <c r="U23">
        <f>"&lt;aside&gt;🅰1️⃣"&amp;$H$22&amp;"&lt;br&gt;&lt;br&gt;&lt;strong&gt;🅰2️⃣"&amp;$H$23&amp;"&lt;/strong&gt;&lt;br&gt;&lt;br&gt;🅱1️⃣___________&lt;br&gt;&lt;br&gt;🅱2️⃣___________&lt;/mark&gt;"</f>
        <v/>
      </c>
      <c r="V23" t="inlineStr"/>
      <c r="W23" t="inlineStr"/>
      <c r="X23" t="inlineStr"/>
      <c r="Y23">
        <f>INPUT!$B$7</f>
        <v/>
      </c>
      <c r="Z23">
        <f>INPUT!$B$8</f>
        <v/>
      </c>
      <c r="AA23">
        <f>IFERROR(VLOOKUP($P$23,INPUT!$A$48:$I$156,5,FALSE),"")</f>
        <v/>
      </c>
      <c r="AB23">
        <f>IFERROR(VLOOKUP($AA$23,INPUT!$A$18:$D$24,2,FALSE),"")</f>
        <v/>
      </c>
      <c r="AC23">
        <f>INPUT!$B$9</f>
        <v/>
      </c>
      <c r="AD23" t="inlineStr"/>
      <c r="AE23" t="inlineStr"/>
      <c r="AF23">
        <f>IFERROR(VLOOKUP($AA$23,INPUT!$A$18:$D$24,3,FALSE),"")</f>
        <v/>
      </c>
      <c r="AG23">
        <f>INPUT!$B$10</f>
        <v/>
      </c>
      <c r="AH23">
        <f>IFERROR(VLOOKUP($AA$23,INPUT!$A$18:$D$24,4,FALSE),"")</f>
        <v/>
      </c>
      <c r="AI23">
        <f>INPUT!$B$11</f>
        <v/>
      </c>
      <c r="AJ23">
        <f>INPUT!$B$12</f>
        <v/>
      </c>
      <c r="AK23">
        <f>INPUT!$B$13</f>
        <v/>
      </c>
      <c r="AL23">
        <f>INPUT!$B$14</f>
        <v/>
      </c>
      <c r="AM23">
        <f>INPUT!$B$15</f>
        <v/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>
        <f>IFERROR(VLOOKUP($P$23,INPUT!$A$48:$I$156,7,FALSE),"")</f>
        <v/>
      </c>
      <c r="BE23">
        <f>IFERROR(VLOOKUP($P$23,INPUT!$A$48:$I$156,8,FALSE),"")</f>
        <v/>
      </c>
      <c r="BF23">
        <f>IFERROR(VLOOKUP($P$23,INPUT!$A$48:$I$156,9,FALSE),"")</f>
        <v/>
      </c>
      <c r="BG23">
        <f>IF(TRIM($Q$23)&lt;&gt;"",TRIM($Q$23),TRIM($R$23))</f>
        <v/>
      </c>
    </row>
    <row r="24">
      <c r="A24">
        <f>INPUT!$B$5</f>
        <v/>
      </c>
      <c r="B24" t="inlineStr">
        <is>
          <t>03</t>
        </is>
      </c>
      <c r="C24" t="inlineStr"/>
      <c r="D24" t="inlineStr"/>
      <c r="E24" t="inlineStr"/>
      <c r="F24" t="inlineStr"/>
      <c r="G24">
        <f>INPUT!$B$6</f>
        <v/>
      </c>
      <c r="H24">
        <f>IFERROR(VLOOKUP($P$24,INPUT!$A$48:$I$156,6,FALSE),"")</f>
        <v/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wouldyourather_b02_i03</t>
        </is>
      </c>
      <c r="Q24">
        <f>IFERROR(VLOOKUP($P$24,INPUT!$A$48:$I$156,4,FALSE),"")</f>
        <v/>
      </c>
      <c r="R24">
        <f>IFERROR(VLOOKUP($P$24,INPUT!$A$48:$I$156,3,FALSE),"")</f>
        <v/>
      </c>
      <c r="S24" t="inlineStr"/>
      <c r="T24" t="inlineStr"/>
      <c r="U24">
        <f>"&lt;aside&gt;🅰1️⃣"&amp;$H$22&amp;"&lt;br&gt;&lt;br&gt;🅰2️⃣"&amp;$H$23&amp;"&lt;br&gt;&lt;br&gt;&lt;strong&gt;🅱1️⃣"&amp;$H$24&amp;"&lt;/strong&gt;&lt;br&gt;&lt;br&gt;🅱2️⃣___________&lt;/mark&gt;"</f>
        <v/>
      </c>
      <c r="V24" t="inlineStr"/>
      <c r="W24" t="inlineStr"/>
      <c r="X24" t="inlineStr"/>
      <c r="Y24">
        <f>INPUT!$B$7</f>
        <v/>
      </c>
      <c r="Z24">
        <f>INPUT!$B$8</f>
        <v/>
      </c>
      <c r="AA24">
        <f>IFERROR(VLOOKUP($P$24,INPUT!$A$48:$I$156,5,FALSE),"")</f>
        <v/>
      </c>
      <c r="AB24">
        <f>IFERROR(VLOOKUP($AA$24,INPUT!$A$18:$D$24,2,FALSE),"")</f>
        <v/>
      </c>
      <c r="AC24">
        <f>INPUT!$B$9</f>
        <v/>
      </c>
      <c r="AD24" t="inlineStr"/>
      <c r="AE24" t="inlineStr"/>
      <c r="AF24">
        <f>IFERROR(VLOOKUP($AA$24,INPUT!$A$18:$D$24,3,FALSE),"")</f>
        <v/>
      </c>
      <c r="AG24">
        <f>INPUT!$B$10</f>
        <v/>
      </c>
      <c r="AH24">
        <f>IFERROR(VLOOKUP($AA$24,INPUT!$A$18:$D$24,4,FALSE),"")</f>
        <v/>
      </c>
      <c r="AI24">
        <f>INPUT!$B$11</f>
        <v/>
      </c>
      <c r="AJ24">
        <f>INPUT!$B$12</f>
        <v/>
      </c>
      <c r="AK24">
        <f>INPUT!$B$13</f>
        <v/>
      </c>
      <c r="AL24">
        <f>INPUT!$B$14</f>
        <v/>
      </c>
      <c r="AM24">
        <f>INPUT!$B$15</f>
        <v/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>
        <f>IFERROR(VLOOKUP($P$24,INPUT!$A$48:$I$156,7,FALSE),"")</f>
        <v/>
      </c>
      <c r="BE24">
        <f>IFERROR(VLOOKUP($P$24,INPUT!$A$48:$I$156,8,FALSE),"")</f>
        <v/>
      </c>
      <c r="BF24">
        <f>IFERROR(VLOOKUP($P$24,INPUT!$A$48:$I$156,9,FALSE),"")</f>
        <v/>
      </c>
      <c r="BG24">
        <f>IF(TRIM($Q$24)&lt;&gt;"",TRIM($Q$24),TRIM($R$24))</f>
        <v/>
      </c>
    </row>
    <row r="25">
      <c r="A25">
        <f>INPUT!$B$5</f>
        <v/>
      </c>
      <c r="B25" t="inlineStr">
        <is>
          <t>04</t>
        </is>
      </c>
      <c r="C25" t="inlineStr"/>
      <c r="D25" t="inlineStr"/>
      <c r="E25" t="inlineStr"/>
      <c r="F25" t="inlineStr"/>
      <c r="G25">
        <f>INPUT!$B$6</f>
        <v/>
      </c>
      <c r="H25">
        <f>IFERROR(VLOOKUP($P$25,INPUT!$A$48:$I$156,6,FALSE),"")</f>
        <v/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wouldyourather_b02_i04</t>
        </is>
      </c>
      <c r="Q25">
        <f>IFERROR(VLOOKUP($P$25,INPUT!$A$48:$I$156,4,FALSE),"")</f>
        <v/>
      </c>
      <c r="R25">
        <f>IFERROR(VLOOKUP($P$25,INPUT!$A$48:$I$156,3,FALSE),"")</f>
        <v/>
      </c>
      <c r="S25" t="inlineStr"/>
      <c r="T25" t="inlineStr"/>
      <c r="U25">
        <f>"&lt;aside&gt;🅰1️⃣"&amp;$H$22&amp;"&lt;br&gt;&lt;br&gt;🅰2️⃣"&amp;$H$23&amp;"&lt;br&gt;&lt;br&gt;🅱1️⃣"&amp;$H$24&amp;"&lt;br&gt;&lt;br&gt;&lt;strong&gt;🅱2️⃣"&amp;$H$25&amp;"&lt;/mark&gt;"</f>
        <v/>
      </c>
      <c r="V25" t="inlineStr"/>
      <c r="W25" t="inlineStr"/>
      <c r="X25" t="inlineStr"/>
      <c r="Y25">
        <f>INPUT!$B$7</f>
        <v/>
      </c>
      <c r="Z25">
        <f>INPUT!$B$8</f>
        <v/>
      </c>
      <c r="AA25">
        <f>IFERROR(VLOOKUP($P$25,INPUT!$A$48:$I$156,5,FALSE),"")</f>
        <v/>
      </c>
      <c r="AB25">
        <f>IFERROR(VLOOKUP($AA$25,INPUT!$A$18:$D$24,2,FALSE),"")</f>
        <v/>
      </c>
      <c r="AC25">
        <f>INPUT!$B$9</f>
        <v/>
      </c>
      <c r="AD25" t="inlineStr"/>
      <c r="AE25" t="inlineStr"/>
      <c r="AF25">
        <f>IFERROR(VLOOKUP($AA$25,INPUT!$A$18:$D$24,3,FALSE),"")</f>
        <v/>
      </c>
      <c r="AG25">
        <f>INPUT!$B$10</f>
        <v/>
      </c>
      <c r="AH25">
        <f>IFERROR(VLOOKUP($AA$25,INPUT!$A$18:$D$24,4,FALSE),"")</f>
        <v/>
      </c>
      <c r="AI25">
        <f>INPUT!$B$11</f>
        <v/>
      </c>
      <c r="AJ25">
        <f>INPUT!$B$12</f>
        <v/>
      </c>
      <c r="AK25">
        <f>INPUT!$B$13</f>
        <v/>
      </c>
      <c r="AL25">
        <f>INPUT!$B$14</f>
        <v/>
      </c>
      <c r="AM25">
        <f>INPUT!$B$15</f>
        <v/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>
        <f>IFERROR(VLOOKUP($P$25,INPUT!$A$48:$I$156,7,FALSE),"")</f>
        <v/>
      </c>
      <c r="BE25">
        <f>IFERROR(VLOOKUP($P$25,INPUT!$A$48:$I$156,8,FALSE),"")</f>
        <v/>
      </c>
      <c r="BF25">
        <f>IFERROR(VLOOKUP($P$25,INPUT!$A$48:$I$156,9,FALSE),"")</f>
        <v/>
      </c>
      <c r="BG25">
        <f>IF(TRIM($Q$25)&lt;&gt;"",TRIM($Q$25),TRIM($R$25))</f>
        <v/>
      </c>
    </row>
    <row r="26">
      <c r="A26">
        <f>INPUT!$B$5</f>
        <v/>
      </c>
      <c r="B26" t="inlineStr">
        <is>
          <t>01</t>
        </is>
      </c>
      <c r="C26" t="inlineStr"/>
      <c r="D26" t="inlineStr"/>
      <c r="E26" t="inlineStr"/>
      <c r="F26" t="inlineStr"/>
      <c r="G26">
        <f>INPUT!$B$6</f>
        <v/>
      </c>
      <c r="H26">
        <f>IFERROR(VLOOKUP($P$26,INPUT!$A$48:$I$156,6,FALSE),"")</f>
        <v/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wouldyourather_b02_ii01</t>
        </is>
      </c>
      <c r="Q26">
        <f>IFERROR(VLOOKUP($P$26,INPUT!$A$48:$I$156,4,FALSE),"")</f>
        <v/>
      </c>
      <c r="R26">
        <f>IFERROR(VLOOKUP($P$26,INPUT!$A$48:$I$156,3,FALSE),"")</f>
        <v/>
      </c>
      <c r="S26" t="inlineStr"/>
      <c r="T26" t="inlineStr"/>
      <c r="U26">
        <f>"&lt;aside&gt;&lt;strong&gt;🅰1️⃣"&amp;$H$26&amp;"&lt;/strong&gt;&lt;br&gt;&lt;br&gt;🅰2️⃣___________&lt;br&gt;&lt;br&gt;🅱1️⃣___________&lt;br&gt;&lt;br&gt;🅱2️⃣___________&gt;&lt;/mark&gt;"</f>
        <v/>
      </c>
      <c r="V26" t="inlineStr"/>
      <c r="W26" t="inlineStr"/>
      <c r="X26" t="inlineStr"/>
      <c r="Y26">
        <f>INPUT!$B$7</f>
        <v/>
      </c>
      <c r="Z26">
        <f>INPUT!$B$8</f>
        <v/>
      </c>
      <c r="AA26">
        <f>IFERROR(VLOOKUP($P$26,INPUT!$A$48:$I$156,5,FALSE),"")</f>
        <v/>
      </c>
      <c r="AB26">
        <f>IFERROR(VLOOKUP($AA$26,INPUT!$A$18:$D$24,2,FALSE),"")</f>
        <v/>
      </c>
      <c r="AC26">
        <f>INPUT!$B$9</f>
        <v/>
      </c>
      <c r="AD26" t="inlineStr"/>
      <c r="AE26" t="inlineStr"/>
      <c r="AF26">
        <f>IFERROR(VLOOKUP($AA$26,INPUT!$A$18:$D$24,3,FALSE),"")</f>
        <v/>
      </c>
      <c r="AG26">
        <f>INPUT!$B$10</f>
        <v/>
      </c>
      <c r="AH26">
        <f>IFERROR(VLOOKUP($AA$26,INPUT!$A$18:$D$24,4,FALSE),"")</f>
        <v/>
      </c>
      <c r="AI26">
        <f>INPUT!$B$11</f>
        <v/>
      </c>
      <c r="AJ26">
        <f>INPUT!$B$12</f>
        <v/>
      </c>
      <c r="AK26">
        <f>INPUT!$B$13</f>
        <v/>
      </c>
      <c r="AL26">
        <f>INPUT!$B$14</f>
        <v/>
      </c>
      <c r="AM26">
        <f>INPUT!$B$15</f>
        <v/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>
        <f>IFERROR(VLOOKUP($P$26,INPUT!$A$48:$I$156,7,FALSE),"")</f>
        <v/>
      </c>
      <c r="BE26">
        <f>IFERROR(VLOOKUP($P$26,INPUT!$A$48:$I$156,8,FALSE),"")</f>
        <v/>
      </c>
      <c r="BF26">
        <f>IFERROR(VLOOKUP($P$26,INPUT!$A$48:$I$156,9,FALSE),"")</f>
        <v/>
      </c>
      <c r="BG26">
        <f>IF(TRIM($Q$26)&lt;&gt;"",TRIM($Q$26),TRIM($R$26))</f>
        <v/>
      </c>
    </row>
    <row r="27">
      <c r="A27">
        <f>INPUT!$B$5</f>
        <v/>
      </c>
      <c r="B27" t="inlineStr">
        <is>
          <t>02</t>
        </is>
      </c>
      <c r="C27" t="inlineStr"/>
      <c r="D27" t="inlineStr"/>
      <c r="E27" t="inlineStr"/>
      <c r="F27" t="inlineStr"/>
      <c r="G27">
        <f>INPUT!$B$6</f>
        <v/>
      </c>
      <c r="H27">
        <f>IFERROR(VLOOKUP($P$27,INPUT!$A$48:$I$156,6,FALSE),"")</f>
        <v/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wouldyourather_b02_ii02</t>
        </is>
      </c>
      <c r="Q27">
        <f>IFERROR(VLOOKUP($P$27,INPUT!$A$48:$I$156,4,FALSE),"")</f>
        <v/>
      </c>
      <c r="R27">
        <f>IFERROR(VLOOKUP($P$27,INPUT!$A$48:$I$156,3,FALSE),"")</f>
        <v/>
      </c>
      <c r="S27" t="inlineStr"/>
      <c r="T27" t="inlineStr"/>
      <c r="U27">
        <f>"&lt;aside&gt;🅰1️⃣"&amp;$H$26&amp;"&lt;br&gt;&lt;br&gt;&lt;strong&gt;🅰2️⃣"&amp;$H$27&amp;"&lt;/strong&gt;&lt;br&gt;&lt;br&gt;🅱1️⃣___________&lt;br&gt;&lt;br&gt;🅱2️⃣___________&lt;/mark&gt;"</f>
        <v/>
      </c>
      <c r="V27" t="inlineStr"/>
      <c r="W27" t="inlineStr"/>
      <c r="X27" t="inlineStr"/>
      <c r="Y27">
        <f>INPUT!$B$7</f>
        <v/>
      </c>
      <c r="Z27">
        <f>INPUT!$B$8</f>
        <v/>
      </c>
      <c r="AA27">
        <f>IFERROR(VLOOKUP($P$27,INPUT!$A$48:$I$156,5,FALSE),"")</f>
        <v/>
      </c>
      <c r="AB27">
        <f>IFERROR(VLOOKUP($AA$27,INPUT!$A$18:$D$24,2,FALSE),"")</f>
        <v/>
      </c>
      <c r="AC27">
        <f>INPUT!$B$9</f>
        <v/>
      </c>
      <c r="AD27" t="inlineStr"/>
      <c r="AE27" t="inlineStr"/>
      <c r="AF27">
        <f>IFERROR(VLOOKUP($AA$27,INPUT!$A$18:$D$24,3,FALSE),"")</f>
        <v/>
      </c>
      <c r="AG27">
        <f>INPUT!$B$10</f>
        <v/>
      </c>
      <c r="AH27">
        <f>IFERROR(VLOOKUP($AA$27,INPUT!$A$18:$D$24,4,FALSE),"")</f>
        <v/>
      </c>
      <c r="AI27">
        <f>INPUT!$B$11</f>
        <v/>
      </c>
      <c r="AJ27">
        <f>INPUT!$B$12</f>
        <v/>
      </c>
      <c r="AK27">
        <f>INPUT!$B$13</f>
        <v/>
      </c>
      <c r="AL27">
        <f>INPUT!$B$14</f>
        <v/>
      </c>
      <c r="AM27">
        <f>INPUT!$B$15</f>
        <v/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>
        <f>IFERROR(VLOOKUP($P$27,INPUT!$A$48:$I$156,7,FALSE),"")</f>
        <v/>
      </c>
      <c r="BE27">
        <f>IFERROR(VLOOKUP($P$27,INPUT!$A$48:$I$156,8,FALSE),"")</f>
        <v/>
      </c>
      <c r="BF27">
        <f>IFERROR(VLOOKUP($P$27,INPUT!$A$48:$I$156,9,FALSE),"")</f>
        <v/>
      </c>
      <c r="BG27">
        <f>IF(TRIM($Q$27)&lt;&gt;"",TRIM($Q$27),TRIM($R$27))</f>
        <v/>
      </c>
    </row>
    <row r="28">
      <c r="A28">
        <f>INPUT!$B$5</f>
        <v/>
      </c>
      <c r="B28" t="inlineStr">
        <is>
          <t>03</t>
        </is>
      </c>
      <c r="C28" t="inlineStr"/>
      <c r="D28" t="inlineStr"/>
      <c r="E28" t="inlineStr"/>
      <c r="F28" t="inlineStr"/>
      <c r="G28">
        <f>INPUT!$B$6</f>
        <v/>
      </c>
      <c r="H28">
        <f>IFERROR(VLOOKUP($P$28,INPUT!$A$48:$I$156,6,FALSE),"")</f>
        <v/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wouldyourather_b02_ii03</t>
        </is>
      </c>
      <c r="Q28">
        <f>IFERROR(VLOOKUP($P$28,INPUT!$A$48:$I$156,4,FALSE),"")</f>
        <v/>
      </c>
      <c r="R28">
        <f>IFERROR(VLOOKUP($P$28,INPUT!$A$48:$I$156,3,FALSE),"")</f>
        <v/>
      </c>
      <c r="S28" t="inlineStr"/>
      <c r="T28" t="inlineStr"/>
      <c r="U28">
        <f>"&lt;aside&gt;🅰1️⃣"&amp;$H$26&amp;"&lt;br&gt;&lt;br&gt;🅰2️⃣"&amp;$H$27&amp;"&lt;br&gt;&lt;br&gt;&lt;strong&gt;🅱1️⃣"&amp;$H$28&amp;"&lt;/strong&gt;&lt;br&gt;&lt;br&gt;🅱2️⃣___________&lt;/mark&gt;"</f>
        <v/>
      </c>
      <c r="V28" t="inlineStr"/>
      <c r="W28" t="inlineStr"/>
      <c r="X28" t="inlineStr"/>
      <c r="Y28">
        <f>INPUT!$B$7</f>
        <v/>
      </c>
      <c r="Z28">
        <f>INPUT!$B$8</f>
        <v/>
      </c>
      <c r="AA28">
        <f>IFERROR(VLOOKUP($P$28,INPUT!$A$48:$I$156,5,FALSE),"")</f>
        <v/>
      </c>
      <c r="AB28">
        <f>IFERROR(VLOOKUP($AA$28,INPUT!$A$18:$D$24,2,FALSE),"")</f>
        <v/>
      </c>
      <c r="AC28">
        <f>INPUT!$B$9</f>
        <v/>
      </c>
      <c r="AD28" t="inlineStr"/>
      <c r="AE28" t="inlineStr"/>
      <c r="AF28">
        <f>IFERROR(VLOOKUP($AA$28,INPUT!$A$18:$D$24,3,FALSE),"")</f>
        <v/>
      </c>
      <c r="AG28">
        <f>INPUT!$B$10</f>
        <v/>
      </c>
      <c r="AH28">
        <f>IFERROR(VLOOKUP($AA$28,INPUT!$A$18:$D$24,4,FALSE),"")</f>
        <v/>
      </c>
      <c r="AI28">
        <f>INPUT!$B$11</f>
        <v/>
      </c>
      <c r="AJ28">
        <f>INPUT!$B$12</f>
        <v/>
      </c>
      <c r="AK28">
        <f>INPUT!$B$13</f>
        <v/>
      </c>
      <c r="AL28">
        <f>INPUT!$B$14</f>
        <v/>
      </c>
      <c r="AM28">
        <f>INPUT!$B$15</f>
        <v/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>
        <f>IFERROR(VLOOKUP($P$28,INPUT!$A$48:$I$156,7,FALSE),"")</f>
        <v/>
      </c>
      <c r="BE28">
        <f>IFERROR(VLOOKUP($P$28,INPUT!$A$48:$I$156,8,FALSE),"")</f>
        <v/>
      </c>
      <c r="BF28">
        <f>IFERROR(VLOOKUP($P$28,INPUT!$A$48:$I$156,9,FALSE),"")</f>
        <v/>
      </c>
      <c r="BG28">
        <f>IF(TRIM($Q$28)&lt;&gt;"",TRIM($Q$28),TRIM($R$28))</f>
        <v/>
      </c>
    </row>
    <row r="29">
      <c r="A29">
        <f>INPUT!$B$5</f>
        <v/>
      </c>
      <c r="B29" t="inlineStr">
        <is>
          <t>04</t>
        </is>
      </c>
      <c r="C29" t="inlineStr"/>
      <c r="D29" t="inlineStr"/>
      <c r="E29" t="inlineStr"/>
      <c r="F29" t="inlineStr"/>
      <c r="G29">
        <f>INPUT!$B$6</f>
        <v/>
      </c>
      <c r="H29">
        <f>IFERROR(VLOOKUP($P$29,INPUT!$A$48:$I$156,6,FALSE),"")</f>
        <v/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wouldyourather_b02_ii04</t>
        </is>
      </c>
      <c r="Q29">
        <f>IFERROR(VLOOKUP($P$29,INPUT!$A$48:$I$156,4,FALSE),"")</f>
        <v/>
      </c>
      <c r="R29">
        <f>IFERROR(VLOOKUP($P$29,INPUT!$A$48:$I$156,3,FALSE),"")</f>
        <v/>
      </c>
      <c r="S29" t="inlineStr"/>
      <c r="T29" t="inlineStr"/>
      <c r="U29">
        <f>"&lt;aside&gt;🅰1️⃣"&amp;$H$26&amp;"&lt;br&gt;&lt;br&gt;🅰2️⃣"&amp;$H$27&amp;"&lt;br&gt;&lt;br&gt;🅱1️⃣"&amp;$H$28&amp;"&lt;br&gt;&lt;br&gt;&lt;strong&gt;🅱2️⃣"&amp;$H$29&amp;"&lt;/mark&gt;"</f>
        <v/>
      </c>
      <c r="V29" t="inlineStr"/>
      <c r="W29" t="inlineStr"/>
      <c r="X29" t="inlineStr"/>
      <c r="Y29">
        <f>INPUT!$B$7</f>
        <v/>
      </c>
      <c r="Z29">
        <f>INPUT!$B$8</f>
        <v/>
      </c>
      <c r="AA29">
        <f>IFERROR(VLOOKUP($P$29,INPUT!$A$48:$I$156,5,FALSE),"")</f>
        <v/>
      </c>
      <c r="AB29">
        <f>IFERROR(VLOOKUP($AA$29,INPUT!$A$18:$D$24,2,FALSE),"")</f>
        <v/>
      </c>
      <c r="AC29">
        <f>INPUT!$B$9</f>
        <v/>
      </c>
      <c r="AD29" t="inlineStr"/>
      <c r="AE29" t="inlineStr"/>
      <c r="AF29">
        <f>IFERROR(VLOOKUP($AA$29,INPUT!$A$18:$D$24,3,FALSE),"")</f>
        <v/>
      </c>
      <c r="AG29">
        <f>INPUT!$B$10</f>
        <v/>
      </c>
      <c r="AH29">
        <f>IFERROR(VLOOKUP($AA$29,INPUT!$A$18:$D$24,4,FALSE),"")</f>
        <v/>
      </c>
      <c r="AI29">
        <f>INPUT!$B$11</f>
        <v/>
      </c>
      <c r="AJ29">
        <f>INPUT!$B$12</f>
        <v/>
      </c>
      <c r="AK29">
        <f>INPUT!$B$13</f>
        <v/>
      </c>
      <c r="AL29">
        <f>INPUT!$B$14</f>
        <v/>
      </c>
      <c r="AM29">
        <f>INPUT!$B$15</f>
        <v/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>
        <f>IFERROR(VLOOKUP($P$29,INPUT!$A$48:$I$156,7,FALSE),"")</f>
        <v/>
      </c>
      <c r="BE29">
        <f>IFERROR(VLOOKUP($P$29,INPUT!$A$48:$I$156,8,FALSE),"")</f>
        <v/>
      </c>
      <c r="BF29">
        <f>IFERROR(VLOOKUP($P$29,INPUT!$A$48:$I$156,9,FALSE),"")</f>
        <v/>
      </c>
      <c r="BG29">
        <f>IF(TRIM($Q$29)&lt;&gt;"",TRIM($Q$29),TRIM($R$29))</f>
        <v/>
      </c>
    </row>
    <row r="30">
      <c r="A30">
        <f>INPUT!$B$5</f>
        <v/>
      </c>
      <c r="B30" t="inlineStr">
        <is>
          <t>01</t>
        </is>
      </c>
      <c r="C30" t="inlineStr"/>
      <c r="D30" t="inlineStr"/>
      <c r="E30" t="inlineStr"/>
      <c r="F30" t="inlineStr"/>
      <c r="G30">
        <f>INPUT!$B$6</f>
        <v/>
      </c>
      <c r="H30">
        <f>IFERROR(VLOOKUP($P$30,INPUT!$A$48:$I$156,6,FALSE),"")</f>
        <v/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wouldyourather_b03_i01</t>
        </is>
      </c>
      <c r="Q30">
        <f>IFERROR(VLOOKUP($P$30,INPUT!$A$48:$I$156,4,FALSE),"")</f>
        <v/>
      </c>
      <c r="R30">
        <f>IFERROR(VLOOKUP($P$30,INPUT!$A$48:$I$156,3,FALSE),"")</f>
        <v/>
      </c>
      <c r="S30" t="inlineStr"/>
      <c r="T30" t="inlineStr"/>
      <c r="U30">
        <f>"&lt;aside&gt;&lt;strong&gt;🅰1️⃣"&amp;$H$30&amp;"&lt;/strong&gt;&lt;br&gt;&lt;br&gt;🅰2️⃣___________&lt;br&gt;&lt;br&gt;🅱1️⃣___________&lt;br&gt;&lt;br&gt;🅱2️⃣___________&gt;&lt;/mark&gt;"</f>
        <v/>
      </c>
      <c r="V30" t="inlineStr"/>
      <c r="W30" t="inlineStr"/>
      <c r="X30" t="inlineStr"/>
      <c r="Y30">
        <f>INPUT!$B$7</f>
        <v/>
      </c>
      <c r="Z30">
        <f>INPUT!$B$8</f>
        <v/>
      </c>
      <c r="AA30">
        <f>IFERROR(VLOOKUP($P$30,INPUT!$A$48:$I$156,5,FALSE),"")</f>
        <v/>
      </c>
      <c r="AB30">
        <f>IFERROR(VLOOKUP($AA$30,INPUT!$A$18:$D$24,2,FALSE),"")</f>
        <v/>
      </c>
      <c r="AC30">
        <f>INPUT!$B$9</f>
        <v/>
      </c>
      <c r="AD30" t="inlineStr"/>
      <c r="AE30" t="inlineStr"/>
      <c r="AF30">
        <f>IFERROR(VLOOKUP($AA$30,INPUT!$A$18:$D$24,3,FALSE),"")</f>
        <v/>
      </c>
      <c r="AG30">
        <f>INPUT!$B$10</f>
        <v/>
      </c>
      <c r="AH30">
        <f>IFERROR(VLOOKUP($AA$30,INPUT!$A$18:$D$24,4,FALSE),"")</f>
        <v/>
      </c>
      <c r="AI30">
        <f>INPUT!$B$11</f>
        <v/>
      </c>
      <c r="AJ30">
        <f>INPUT!$B$12</f>
        <v/>
      </c>
      <c r="AK30">
        <f>INPUT!$B$13</f>
        <v/>
      </c>
      <c r="AL30">
        <f>INPUT!$B$14</f>
        <v/>
      </c>
      <c r="AM30">
        <f>INPUT!$B$15</f>
        <v/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>
        <f>IFERROR(VLOOKUP($P$30,INPUT!$A$48:$I$156,7,FALSE),"")</f>
        <v/>
      </c>
      <c r="BE30">
        <f>IFERROR(VLOOKUP($P$30,INPUT!$A$48:$I$156,8,FALSE),"")</f>
        <v/>
      </c>
      <c r="BF30">
        <f>IFERROR(VLOOKUP($P$30,INPUT!$A$48:$I$156,9,FALSE),"")</f>
        <v/>
      </c>
      <c r="BG30">
        <f>IF(TRIM($Q$30)&lt;&gt;"",TRIM($Q$30),TRIM($R$30))</f>
        <v/>
      </c>
    </row>
    <row r="31">
      <c r="A31">
        <f>INPUT!$B$5</f>
        <v/>
      </c>
      <c r="B31" t="inlineStr">
        <is>
          <t>02</t>
        </is>
      </c>
      <c r="C31" t="inlineStr"/>
      <c r="D31" t="inlineStr"/>
      <c r="E31" t="inlineStr"/>
      <c r="F31" t="inlineStr"/>
      <c r="G31">
        <f>INPUT!$B$6</f>
        <v/>
      </c>
      <c r="H31">
        <f>IFERROR(VLOOKUP($P$31,INPUT!$A$48:$I$156,6,FALSE),"")</f>
        <v/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wouldyourather_b03_i02</t>
        </is>
      </c>
      <c r="Q31">
        <f>IFERROR(VLOOKUP($P$31,INPUT!$A$48:$I$156,4,FALSE),"")</f>
        <v/>
      </c>
      <c r="R31">
        <f>IFERROR(VLOOKUP($P$31,INPUT!$A$48:$I$156,3,FALSE),"")</f>
        <v/>
      </c>
      <c r="S31" t="inlineStr"/>
      <c r="T31" t="inlineStr"/>
      <c r="U31">
        <f>"&lt;aside&gt;🅰1️⃣"&amp;$H$30&amp;"&lt;br&gt;&lt;br&gt;&lt;strong&gt;🅰2️⃣"&amp;$H$31&amp;"&lt;/strong&gt;&lt;br&gt;&lt;br&gt;🅱1️⃣___________&lt;br&gt;&lt;br&gt;🅱2️⃣___________&lt;/mark&gt;"</f>
        <v/>
      </c>
      <c r="V31" t="inlineStr"/>
      <c r="W31" t="inlineStr"/>
      <c r="X31" t="inlineStr"/>
      <c r="Y31">
        <f>INPUT!$B$7</f>
        <v/>
      </c>
      <c r="Z31">
        <f>INPUT!$B$8</f>
        <v/>
      </c>
      <c r="AA31">
        <f>IFERROR(VLOOKUP($P$31,INPUT!$A$48:$I$156,5,FALSE),"")</f>
        <v/>
      </c>
      <c r="AB31">
        <f>IFERROR(VLOOKUP($AA$31,INPUT!$A$18:$D$24,2,FALSE),"")</f>
        <v/>
      </c>
      <c r="AC31">
        <f>INPUT!$B$9</f>
        <v/>
      </c>
      <c r="AD31" t="inlineStr"/>
      <c r="AE31" t="inlineStr"/>
      <c r="AF31">
        <f>IFERROR(VLOOKUP($AA$31,INPUT!$A$18:$D$24,3,FALSE),"")</f>
        <v/>
      </c>
      <c r="AG31">
        <f>INPUT!$B$10</f>
        <v/>
      </c>
      <c r="AH31">
        <f>IFERROR(VLOOKUP($AA$31,INPUT!$A$18:$D$24,4,FALSE),"")</f>
        <v/>
      </c>
      <c r="AI31">
        <f>INPUT!$B$11</f>
        <v/>
      </c>
      <c r="AJ31">
        <f>INPUT!$B$12</f>
        <v/>
      </c>
      <c r="AK31">
        <f>INPUT!$B$13</f>
        <v/>
      </c>
      <c r="AL31">
        <f>INPUT!$B$14</f>
        <v/>
      </c>
      <c r="AM31">
        <f>INPUT!$B$15</f>
        <v/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>
        <f>IFERROR(VLOOKUP($P$31,INPUT!$A$48:$I$156,7,FALSE),"")</f>
        <v/>
      </c>
      <c r="BE31">
        <f>IFERROR(VLOOKUP($P$31,INPUT!$A$48:$I$156,8,FALSE),"")</f>
        <v/>
      </c>
      <c r="BF31">
        <f>IFERROR(VLOOKUP($P$31,INPUT!$A$48:$I$156,9,FALSE),"")</f>
        <v/>
      </c>
      <c r="BG31">
        <f>IF(TRIM($Q$31)&lt;&gt;"",TRIM($Q$31),TRIM($R$31))</f>
        <v/>
      </c>
    </row>
    <row r="32">
      <c r="A32">
        <f>INPUT!$B$5</f>
        <v/>
      </c>
      <c r="B32" t="inlineStr">
        <is>
          <t>03</t>
        </is>
      </c>
      <c r="C32" t="inlineStr"/>
      <c r="D32" t="inlineStr"/>
      <c r="E32" t="inlineStr"/>
      <c r="F32" t="inlineStr"/>
      <c r="G32">
        <f>INPUT!$B$6</f>
        <v/>
      </c>
      <c r="H32">
        <f>IFERROR(VLOOKUP($P$32,INPUT!$A$48:$I$156,6,FALSE),"")</f>
        <v/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wouldyourather_b03_i03</t>
        </is>
      </c>
      <c r="Q32">
        <f>IFERROR(VLOOKUP($P$32,INPUT!$A$48:$I$156,4,FALSE),"")</f>
        <v/>
      </c>
      <c r="R32">
        <f>IFERROR(VLOOKUP($P$32,INPUT!$A$48:$I$156,3,FALSE),"")</f>
        <v/>
      </c>
      <c r="S32" t="inlineStr"/>
      <c r="T32" t="inlineStr"/>
      <c r="U32">
        <f>"&lt;aside&gt;🅰1️⃣"&amp;$H$30&amp;"&lt;br&gt;&lt;br&gt;🅰2️⃣"&amp;$H$31&amp;"&lt;br&gt;&lt;br&gt;&lt;strong&gt;🅱1️⃣"&amp;$H$32&amp;"&lt;/strong&gt;&lt;br&gt;&lt;br&gt;🅱2️⃣___________&lt;/mark&gt;"</f>
        <v/>
      </c>
      <c r="V32" t="inlineStr"/>
      <c r="W32" t="inlineStr"/>
      <c r="X32" t="inlineStr"/>
      <c r="Y32">
        <f>INPUT!$B$7</f>
        <v/>
      </c>
      <c r="Z32">
        <f>INPUT!$B$8</f>
        <v/>
      </c>
      <c r="AA32">
        <f>IFERROR(VLOOKUP($P$32,INPUT!$A$48:$I$156,5,FALSE),"")</f>
        <v/>
      </c>
      <c r="AB32">
        <f>IFERROR(VLOOKUP($AA$32,INPUT!$A$18:$D$24,2,FALSE),"")</f>
        <v/>
      </c>
      <c r="AC32">
        <f>INPUT!$B$9</f>
        <v/>
      </c>
      <c r="AD32" t="inlineStr"/>
      <c r="AE32" t="inlineStr"/>
      <c r="AF32">
        <f>IFERROR(VLOOKUP($AA$32,INPUT!$A$18:$D$24,3,FALSE),"")</f>
        <v/>
      </c>
      <c r="AG32">
        <f>INPUT!$B$10</f>
        <v/>
      </c>
      <c r="AH32">
        <f>IFERROR(VLOOKUP($AA$32,INPUT!$A$18:$D$24,4,FALSE),"")</f>
        <v/>
      </c>
      <c r="AI32">
        <f>INPUT!$B$11</f>
        <v/>
      </c>
      <c r="AJ32">
        <f>INPUT!$B$12</f>
        <v/>
      </c>
      <c r="AK32">
        <f>INPUT!$B$13</f>
        <v/>
      </c>
      <c r="AL32">
        <f>INPUT!$B$14</f>
        <v/>
      </c>
      <c r="AM32">
        <f>INPUT!$B$15</f>
        <v/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>
        <f>IFERROR(VLOOKUP($P$32,INPUT!$A$48:$I$156,7,FALSE),"")</f>
        <v/>
      </c>
      <c r="BE32">
        <f>IFERROR(VLOOKUP($P$32,INPUT!$A$48:$I$156,8,FALSE),"")</f>
        <v/>
      </c>
      <c r="BF32">
        <f>IFERROR(VLOOKUP($P$32,INPUT!$A$48:$I$156,9,FALSE),"")</f>
        <v/>
      </c>
      <c r="BG32">
        <f>IF(TRIM($Q$32)&lt;&gt;"",TRIM($Q$32),TRIM($R$32))</f>
        <v/>
      </c>
    </row>
    <row r="33">
      <c r="A33">
        <f>INPUT!$B$5</f>
        <v/>
      </c>
      <c r="B33" t="inlineStr">
        <is>
          <t>04</t>
        </is>
      </c>
      <c r="C33" t="inlineStr"/>
      <c r="D33" t="inlineStr"/>
      <c r="E33" t="inlineStr"/>
      <c r="F33" t="inlineStr"/>
      <c r="G33">
        <f>INPUT!$B$6</f>
        <v/>
      </c>
      <c r="H33">
        <f>IFERROR(VLOOKUP($P$33,INPUT!$A$48:$I$156,6,FALSE),"")</f>
        <v/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wouldyourather_b03_i04</t>
        </is>
      </c>
      <c r="Q33">
        <f>IFERROR(VLOOKUP($P$33,INPUT!$A$48:$I$156,4,FALSE),"")</f>
        <v/>
      </c>
      <c r="R33">
        <f>IFERROR(VLOOKUP($P$33,INPUT!$A$48:$I$156,3,FALSE),"")</f>
        <v/>
      </c>
      <c r="S33" t="inlineStr"/>
      <c r="T33" t="inlineStr"/>
      <c r="U33">
        <f>"&lt;aside&gt;🅰1️⃣"&amp;$H$30&amp;"&lt;br&gt;&lt;br&gt;🅰2️⃣"&amp;$H$31&amp;"&lt;br&gt;&lt;br&gt;🅱1️⃣"&amp;$H$32&amp;"&lt;br&gt;&lt;br&gt;&lt;strong&gt;🅱2️⃣"&amp;$H$33&amp;"&lt;/mark&gt;"</f>
        <v/>
      </c>
      <c r="V33" t="inlineStr"/>
      <c r="W33" t="inlineStr"/>
      <c r="X33" t="inlineStr"/>
      <c r="Y33">
        <f>INPUT!$B$7</f>
        <v/>
      </c>
      <c r="Z33">
        <f>INPUT!$B$8</f>
        <v/>
      </c>
      <c r="AA33">
        <f>IFERROR(VLOOKUP($P$33,INPUT!$A$48:$I$156,5,FALSE),"")</f>
        <v/>
      </c>
      <c r="AB33">
        <f>IFERROR(VLOOKUP($AA$33,INPUT!$A$18:$D$24,2,FALSE),"")</f>
        <v/>
      </c>
      <c r="AC33">
        <f>INPUT!$B$9</f>
        <v/>
      </c>
      <c r="AD33" t="inlineStr"/>
      <c r="AE33" t="inlineStr"/>
      <c r="AF33">
        <f>IFERROR(VLOOKUP($AA$33,INPUT!$A$18:$D$24,3,FALSE),"")</f>
        <v/>
      </c>
      <c r="AG33">
        <f>INPUT!$B$10</f>
        <v/>
      </c>
      <c r="AH33">
        <f>IFERROR(VLOOKUP($AA$33,INPUT!$A$18:$D$24,4,FALSE),"")</f>
        <v/>
      </c>
      <c r="AI33">
        <f>INPUT!$B$11</f>
        <v/>
      </c>
      <c r="AJ33">
        <f>INPUT!$B$12</f>
        <v/>
      </c>
      <c r="AK33">
        <f>INPUT!$B$13</f>
        <v/>
      </c>
      <c r="AL33">
        <f>INPUT!$B$14</f>
        <v/>
      </c>
      <c r="AM33">
        <f>INPUT!$B$15</f>
        <v/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>
        <f>IFERROR(VLOOKUP($P$33,INPUT!$A$48:$I$156,7,FALSE),"")</f>
        <v/>
      </c>
      <c r="BE33">
        <f>IFERROR(VLOOKUP($P$33,INPUT!$A$48:$I$156,8,FALSE),"")</f>
        <v/>
      </c>
      <c r="BF33">
        <f>IFERROR(VLOOKUP($P$33,INPUT!$A$48:$I$156,9,FALSE),"")</f>
        <v/>
      </c>
      <c r="BG33">
        <f>IF(TRIM($Q$33)&lt;&gt;"",TRIM($Q$33),TRIM($R$33))</f>
        <v/>
      </c>
    </row>
    <row r="34">
      <c r="A34">
        <f>INPUT!$B$5</f>
        <v/>
      </c>
      <c r="B34" t="inlineStr">
        <is>
          <t>01</t>
        </is>
      </c>
      <c r="C34" t="inlineStr"/>
      <c r="D34" t="inlineStr"/>
      <c r="E34" t="inlineStr"/>
      <c r="F34" t="inlineStr"/>
      <c r="G34">
        <f>INPUT!$B$6</f>
        <v/>
      </c>
      <c r="H34">
        <f>IFERROR(VLOOKUP($P$34,INPUT!$A$48:$I$156,6,FALSE),"")</f>
        <v/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wouldyourather_b03_ii01</t>
        </is>
      </c>
      <c r="Q34">
        <f>IFERROR(VLOOKUP($P$34,INPUT!$A$48:$I$156,4,FALSE),"")</f>
        <v/>
      </c>
      <c r="R34">
        <f>IFERROR(VLOOKUP($P$34,INPUT!$A$48:$I$156,3,FALSE),"")</f>
        <v/>
      </c>
      <c r="S34" t="inlineStr"/>
      <c r="T34" t="inlineStr"/>
      <c r="U34">
        <f>"&lt;aside&gt;&lt;strong&gt;🅰1️⃣"&amp;$H$34&amp;"&lt;/strong&gt;&lt;br&gt;&lt;br&gt;🅰2️⃣___________&lt;br&gt;&lt;br&gt;🅱1️⃣___________&lt;br&gt;&lt;br&gt;🅱2️⃣___________&gt;&lt;/mark&gt;"</f>
        <v/>
      </c>
      <c r="V34" t="inlineStr"/>
      <c r="W34" t="inlineStr"/>
      <c r="X34" t="inlineStr"/>
      <c r="Y34">
        <f>INPUT!$B$7</f>
        <v/>
      </c>
      <c r="Z34">
        <f>INPUT!$B$8</f>
        <v/>
      </c>
      <c r="AA34">
        <f>IFERROR(VLOOKUP($P$34,INPUT!$A$48:$I$156,5,FALSE),"")</f>
        <v/>
      </c>
      <c r="AB34">
        <f>IFERROR(VLOOKUP($AA$34,INPUT!$A$18:$D$24,2,FALSE),"")</f>
        <v/>
      </c>
      <c r="AC34">
        <f>INPUT!$B$9</f>
        <v/>
      </c>
      <c r="AD34" t="inlineStr"/>
      <c r="AE34" t="inlineStr"/>
      <c r="AF34">
        <f>IFERROR(VLOOKUP($AA$34,INPUT!$A$18:$D$24,3,FALSE),"")</f>
        <v/>
      </c>
      <c r="AG34">
        <f>INPUT!$B$10</f>
        <v/>
      </c>
      <c r="AH34">
        <f>IFERROR(VLOOKUP($AA$34,INPUT!$A$18:$D$24,4,FALSE),"")</f>
        <v/>
      </c>
      <c r="AI34">
        <f>INPUT!$B$11</f>
        <v/>
      </c>
      <c r="AJ34">
        <f>INPUT!$B$12</f>
        <v/>
      </c>
      <c r="AK34">
        <f>INPUT!$B$13</f>
        <v/>
      </c>
      <c r="AL34">
        <f>INPUT!$B$14</f>
        <v/>
      </c>
      <c r="AM34">
        <f>INPUT!$B$15</f>
        <v/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>
        <f>IFERROR(VLOOKUP($P$34,INPUT!$A$48:$I$156,7,FALSE),"")</f>
        <v/>
      </c>
      <c r="BE34">
        <f>IFERROR(VLOOKUP($P$34,INPUT!$A$48:$I$156,8,FALSE),"")</f>
        <v/>
      </c>
      <c r="BF34">
        <f>IFERROR(VLOOKUP($P$34,INPUT!$A$48:$I$156,9,FALSE),"")</f>
        <v/>
      </c>
      <c r="BG34">
        <f>IF(TRIM($Q$34)&lt;&gt;"",TRIM($Q$34),TRIM($R$34))</f>
        <v/>
      </c>
    </row>
    <row r="35">
      <c r="A35">
        <f>INPUT!$B$5</f>
        <v/>
      </c>
      <c r="B35" t="inlineStr">
        <is>
          <t>02</t>
        </is>
      </c>
      <c r="C35" t="inlineStr"/>
      <c r="D35" t="inlineStr"/>
      <c r="E35" t="inlineStr"/>
      <c r="F35" t="inlineStr"/>
      <c r="G35">
        <f>INPUT!$B$6</f>
        <v/>
      </c>
      <c r="H35">
        <f>IFERROR(VLOOKUP($P$35,INPUT!$A$48:$I$156,6,FALSE),"")</f>
        <v/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wouldyourather_b03_ii02</t>
        </is>
      </c>
      <c r="Q35">
        <f>IFERROR(VLOOKUP($P$35,INPUT!$A$48:$I$156,4,FALSE),"")</f>
        <v/>
      </c>
      <c r="R35">
        <f>IFERROR(VLOOKUP($P$35,INPUT!$A$48:$I$156,3,FALSE),"")</f>
        <v/>
      </c>
      <c r="S35" t="inlineStr"/>
      <c r="T35" t="inlineStr"/>
      <c r="U35">
        <f>"&lt;aside&gt;🅰1️⃣"&amp;$H$34&amp;"&lt;br&gt;&lt;br&gt;&lt;strong&gt;🅰2️⃣"&amp;$H$35&amp;"&lt;/strong&gt;&lt;br&gt;&lt;br&gt;🅱1️⃣___________&lt;br&gt;&lt;br&gt;🅱2️⃣___________&lt;/mark&gt;"</f>
        <v/>
      </c>
      <c r="V35" t="inlineStr"/>
      <c r="W35" t="inlineStr"/>
      <c r="X35" t="inlineStr"/>
      <c r="Y35">
        <f>INPUT!$B$7</f>
        <v/>
      </c>
      <c r="Z35">
        <f>INPUT!$B$8</f>
        <v/>
      </c>
      <c r="AA35">
        <f>IFERROR(VLOOKUP($P$35,INPUT!$A$48:$I$156,5,FALSE),"")</f>
        <v/>
      </c>
      <c r="AB35">
        <f>IFERROR(VLOOKUP($AA$35,INPUT!$A$18:$D$24,2,FALSE),"")</f>
        <v/>
      </c>
      <c r="AC35">
        <f>INPUT!$B$9</f>
        <v/>
      </c>
      <c r="AD35" t="inlineStr"/>
      <c r="AE35" t="inlineStr"/>
      <c r="AF35">
        <f>IFERROR(VLOOKUP($AA$35,INPUT!$A$18:$D$24,3,FALSE),"")</f>
        <v/>
      </c>
      <c r="AG35">
        <f>INPUT!$B$10</f>
        <v/>
      </c>
      <c r="AH35">
        <f>IFERROR(VLOOKUP($AA$35,INPUT!$A$18:$D$24,4,FALSE),"")</f>
        <v/>
      </c>
      <c r="AI35">
        <f>INPUT!$B$11</f>
        <v/>
      </c>
      <c r="AJ35">
        <f>INPUT!$B$12</f>
        <v/>
      </c>
      <c r="AK35">
        <f>INPUT!$B$13</f>
        <v/>
      </c>
      <c r="AL35">
        <f>INPUT!$B$14</f>
        <v/>
      </c>
      <c r="AM35">
        <f>INPUT!$B$15</f>
        <v/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>
        <f>IFERROR(VLOOKUP($P$35,INPUT!$A$48:$I$156,7,FALSE),"")</f>
        <v/>
      </c>
      <c r="BE35">
        <f>IFERROR(VLOOKUP($P$35,INPUT!$A$48:$I$156,8,FALSE),"")</f>
        <v/>
      </c>
      <c r="BF35">
        <f>IFERROR(VLOOKUP($P$35,INPUT!$A$48:$I$156,9,FALSE),"")</f>
        <v/>
      </c>
      <c r="BG35">
        <f>IF(TRIM($Q$35)&lt;&gt;"",TRIM($Q$35),TRIM($R$35))</f>
        <v/>
      </c>
    </row>
    <row r="36">
      <c r="A36">
        <f>INPUT!$B$5</f>
        <v/>
      </c>
      <c r="B36" t="inlineStr">
        <is>
          <t>03</t>
        </is>
      </c>
      <c r="C36" t="inlineStr"/>
      <c r="D36" t="inlineStr"/>
      <c r="E36" t="inlineStr"/>
      <c r="F36" t="inlineStr"/>
      <c r="G36">
        <f>INPUT!$B$6</f>
        <v/>
      </c>
      <c r="H36">
        <f>IFERROR(VLOOKUP($P$36,INPUT!$A$48:$I$156,6,FALSE),"")</f>
        <v/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wouldyourather_b03_ii03</t>
        </is>
      </c>
      <c r="Q36">
        <f>IFERROR(VLOOKUP($P$36,INPUT!$A$48:$I$156,4,FALSE),"")</f>
        <v/>
      </c>
      <c r="R36">
        <f>IFERROR(VLOOKUP($P$36,INPUT!$A$48:$I$156,3,FALSE),"")</f>
        <v/>
      </c>
      <c r="S36" t="inlineStr"/>
      <c r="T36" t="inlineStr"/>
      <c r="U36">
        <f>"&lt;aside&gt;🅰1️⃣"&amp;$H$34&amp;"&lt;br&gt;&lt;br&gt;🅰2️⃣"&amp;$H$35&amp;"&lt;br&gt;&lt;br&gt;&lt;strong&gt;🅱1️⃣"&amp;$H$36&amp;"&lt;/strong&gt;&lt;br&gt;&lt;br&gt;🅱2️⃣___________&lt;/mark&gt;"</f>
        <v/>
      </c>
      <c r="V36" t="inlineStr"/>
      <c r="W36" t="inlineStr"/>
      <c r="X36" t="inlineStr"/>
      <c r="Y36">
        <f>INPUT!$B$7</f>
        <v/>
      </c>
      <c r="Z36">
        <f>INPUT!$B$8</f>
        <v/>
      </c>
      <c r="AA36">
        <f>IFERROR(VLOOKUP($P$36,INPUT!$A$48:$I$156,5,FALSE),"")</f>
        <v/>
      </c>
      <c r="AB36">
        <f>IFERROR(VLOOKUP($AA$36,INPUT!$A$18:$D$24,2,FALSE),"")</f>
        <v/>
      </c>
      <c r="AC36">
        <f>INPUT!$B$9</f>
        <v/>
      </c>
      <c r="AD36" t="inlineStr"/>
      <c r="AE36" t="inlineStr"/>
      <c r="AF36">
        <f>IFERROR(VLOOKUP($AA$36,INPUT!$A$18:$D$24,3,FALSE),"")</f>
        <v/>
      </c>
      <c r="AG36">
        <f>INPUT!$B$10</f>
        <v/>
      </c>
      <c r="AH36">
        <f>IFERROR(VLOOKUP($AA$36,INPUT!$A$18:$D$24,4,FALSE),"")</f>
        <v/>
      </c>
      <c r="AI36">
        <f>INPUT!$B$11</f>
        <v/>
      </c>
      <c r="AJ36">
        <f>INPUT!$B$12</f>
        <v/>
      </c>
      <c r="AK36">
        <f>INPUT!$B$13</f>
        <v/>
      </c>
      <c r="AL36">
        <f>INPUT!$B$14</f>
        <v/>
      </c>
      <c r="AM36">
        <f>INPUT!$B$15</f>
        <v/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>
        <f>IFERROR(VLOOKUP($P$36,INPUT!$A$48:$I$156,7,FALSE),"")</f>
        <v/>
      </c>
      <c r="BE36">
        <f>IFERROR(VLOOKUP($P$36,INPUT!$A$48:$I$156,8,FALSE),"")</f>
        <v/>
      </c>
      <c r="BF36">
        <f>IFERROR(VLOOKUP($P$36,INPUT!$A$48:$I$156,9,FALSE),"")</f>
        <v/>
      </c>
      <c r="BG36">
        <f>IF(TRIM($Q$36)&lt;&gt;"",TRIM($Q$36),TRIM($R$36))</f>
        <v/>
      </c>
    </row>
    <row r="37">
      <c r="A37">
        <f>INPUT!$B$5</f>
        <v/>
      </c>
      <c r="B37" t="inlineStr">
        <is>
          <t>04</t>
        </is>
      </c>
      <c r="C37" t="inlineStr"/>
      <c r="D37" t="inlineStr"/>
      <c r="E37" t="inlineStr"/>
      <c r="F37" t="inlineStr"/>
      <c r="G37">
        <f>INPUT!$B$6</f>
        <v/>
      </c>
      <c r="H37">
        <f>IFERROR(VLOOKUP($P$37,INPUT!$A$48:$I$156,6,FALSE),"")</f>
        <v/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wouldyourather_b03_ii04</t>
        </is>
      </c>
      <c r="Q37">
        <f>IFERROR(VLOOKUP($P$37,INPUT!$A$48:$I$156,4,FALSE),"")</f>
        <v/>
      </c>
      <c r="R37">
        <f>IFERROR(VLOOKUP($P$37,INPUT!$A$48:$I$156,3,FALSE),"")</f>
        <v/>
      </c>
      <c r="S37" t="inlineStr"/>
      <c r="T37" t="inlineStr"/>
      <c r="U37">
        <f>"&lt;aside&gt;🅰1️⃣"&amp;$H$34&amp;"&lt;br&gt;&lt;br&gt;🅰2️⃣"&amp;$H$35&amp;"&lt;br&gt;&lt;br&gt;🅱1️⃣"&amp;$H$36&amp;"&lt;br&gt;&lt;br&gt;&lt;strong&gt;🅱2️⃣"&amp;$H$37&amp;"&lt;/mark&gt;"</f>
        <v/>
      </c>
      <c r="V37" t="inlineStr"/>
      <c r="W37" t="inlineStr"/>
      <c r="X37" t="inlineStr"/>
      <c r="Y37">
        <f>INPUT!$B$7</f>
        <v/>
      </c>
      <c r="Z37">
        <f>INPUT!$B$8</f>
        <v/>
      </c>
      <c r="AA37">
        <f>IFERROR(VLOOKUP($P$37,INPUT!$A$48:$I$156,5,FALSE),"")</f>
        <v/>
      </c>
      <c r="AB37">
        <f>IFERROR(VLOOKUP($AA$37,INPUT!$A$18:$D$24,2,FALSE),"")</f>
        <v/>
      </c>
      <c r="AC37">
        <f>INPUT!$B$9</f>
        <v/>
      </c>
      <c r="AD37" t="inlineStr"/>
      <c r="AE37" t="inlineStr"/>
      <c r="AF37">
        <f>IFERROR(VLOOKUP($AA$37,INPUT!$A$18:$D$24,3,FALSE),"")</f>
        <v/>
      </c>
      <c r="AG37">
        <f>INPUT!$B$10</f>
        <v/>
      </c>
      <c r="AH37">
        <f>IFERROR(VLOOKUP($AA$37,INPUT!$A$18:$D$24,4,FALSE),"")</f>
        <v/>
      </c>
      <c r="AI37">
        <f>INPUT!$B$11</f>
        <v/>
      </c>
      <c r="AJ37">
        <f>INPUT!$B$12</f>
        <v/>
      </c>
      <c r="AK37">
        <f>INPUT!$B$13</f>
        <v/>
      </c>
      <c r="AL37">
        <f>INPUT!$B$14</f>
        <v/>
      </c>
      <c r="AM37">
        <f>INPUT!$B$15</f>
        <v/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>
        <f>IFERROR(VLOOKUP($P$37,INPUT!$A$48:$I$156,7,FALSE),"")</f>
        <v/>
      </c>
      <c r="BE37">
        <f>IFERROR(VLOOKUP($P$37,INPUT!$A$48:$I$156,8,FALSE),"")</f>
        <v/>
      </c>
      <c r="BF37">
        <f>IFERROR(VLOOKUP($P$37,INPUT!$A$48:$I$156,9,FALSE),"")</f>
        <v/>
      </c>
      <c r="BG37">
        <f>IF(TRIM($Q$37)&lt;&gt;"",TRIM($Q$37),TRIM($R$37))</f>
        <v/>
      </c>
    </row>
    <row r="38">
      <c r="A38">
        <f>INPUT!$B$5</f>
        <v/>
      </c>
      <c r="B38" t="inlineStr">
        <is>
          <t>01</t>
        </is>
      </c>
      <c r="C38" t="inlineStr"/>
      <c r="D38" t="inlineStr"/>
      <c r="E38" t="inlineStr"/>
      <c r="F38" t="inlineStr"/>
      <c r="G38">
        <f>INPUT!$B$6</f>
        <v/>
      </c>
      <c r="H38">
        <f>IFERROR(VLOOKUP($P$38,INPUT!$A$48:$I$156,6,FALSE),"")</f>
        <v/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wouldyourather_c0101</t>
        </is>
      </c>
      <c r="Q38">
        <f>IFERROR(VLOOKUP($P$38,INPUT!$A$48:$I$156,4,FALSE),"")</f>
        <v/>
      </c>
      <c r="R38">
        <f>IFERROR(VLOOKUP($P$38,INPUT!$A$48:$I$156,3,FALSE),"")</f>
        <v/>
      </c>
      <c r="S38" t="inlineStr"/>
      <c r="T38" t="inlineStr"/>
      <c r="U38">
        <f>"&lt;aside&gt;&lt;strong&gt;🅰1️⃣"&amp;$H$38&amp;"&lt;/strong&gt;&lt;br&gt;&lt;br&gt;🅰2️⃣___________&lt;br&gt;&lt;br&gt;🅱1️⃣___________&lt;br&gt;&lt;br&gt;🅱2️⃣___________&gt;&lt;/mark&gt;"</f>
        <v/>
      </c>
      <c r="V38" t="inlineStr"/>
      <c r="W38" t="inlineStr"/>
      <c r="X38" t="inlineStr"/>
      <c r="Y38">
        <f>INPUT!$B$7</f>
        <v/>
      </c>
      <c r="Z38">
        <f>INPUT!$B$8</f>
        <v/>
      </c>
      <c r="AA38">
        <f>IFERROR(VLOOKUP($P$38,INPUT!$A$48:$I$156,5,FALSE),"")</f>
        <v/>
      </c>
      <c r="AB38">
        <f>IFERROR(VLOOKUP($AA$38,INPUT!$A$18:$D$24,2,FALSE),"")</f>
        <v/>
      </c>
      <c r="AC38">
        <f>INPUT!$B$9</f>
        <v/>
      </c>
      <c r="AD38" t="inlineStr"/>
      <c r="AE38" t="inlineStr"/>
      <c r="AF38">
        <f>IFERROR(VLOOKUP($AA$38,INPUT!$A$18:$D$24,3,FALSE),"")</f>
        <v/>
      </c>
      <c r="AG38">
        <f>INPUT!$B$10</f>
        <v/>
      </c>
      <c r="AH38">
        <f>IFERROR(VLOOKUP($AA$38,INPUT!$A$18:$D$24,4,FALSE),"")</f>
        <v/>
      </c>
      <c r="AI38">
        <f>INPUT!$B$11</f>
        <v/>
      </c>
      <c r="AJ38">
        <f>INPUT!$B$12</f>
        <v/>
      </c>
      <c r="AK38">
        <f>INPUT!$B$13</f>
        <v/>
      </c>
      <c r="AL38">
        <f>INPUT!$B$14</f>
        <v/>
      </c>
      <c r="AM38">
        <f>INPUT!$B$15</f>
        <v/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>
        <f>IFERROR(VLOOKUP($P$38,INPUT!$A$48:$I$156,7,FALSE),"")</f>
        <v/>
      </c>
      <c r="BE38">
        <f>IFERROR(VLOOKUP($P$38,INPUT!$A$48:$I$156,8,FALSE),"")</f>
        <v/>
      </c>
      <c r="BF38">
        <f>IFERROR(VLOOKUP($P$38,INPUT!$A$48:$I$156,9,FALSE),"")</f>
        <v/>
      </c>
      <c r="BG38">
        <f>IF(TRIM($Q$38)&lt;&gt;"",TRIM($Q$38),TRIM($R$38))</f>
        <v/>
      </c>
    </row>
    <row r="39">
      <c r="A39">
        <f>INPUT!$B$5</f>
        <v/>
      </c>
      <c r="B39" t="inlineStr">
        <is>
          <t>02</t>
        </is>
      </c>
      <c r="C39" t="inlineStr"/>
      <c r="D39" t="inlineStr"/>
      <c r="E39" t="inlineStr"/>
      <c r="F39" t="inlineStr"/>
      <c r="G39">
        <f>INPUT!$B$6</f>
        <v/>
      </c>
      <c r="H39">
        <f>IFERROR(VLOOKUP($P$39,INPUT!$A$48:$I$156,6,FALSE),"")</f>
        <v/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wouldyourather_c0102</t>
        </is>
      </c>
      <c r="Q39">
        <f>IFERROR(VLOOKUP($P$39,INPUT!$A$48:$I$156,4,FALSE),"")</f>
        <v/>
      </c>
      <c r="R39">
        <f>IFERROR(VLOOKUP($P$39,INPUT!$A$48:$I$156,3,FALSE),"")</f>
        <v/>
      </c>
      <c r="S39" t="inlineStr"/>
      <c r="T39" t="inlineStr"/>
      <c r="U39">
        <f>"&lt;aside&gt;🅰1️⃣"&amp;$H$38&amp;"&lt;br&gt;&lt;br&gt;&lt;strong&gt;🅰2️⃣"&amp;$H$39&amp;"&lt;/strong&gt;&lt;br&gt;&lt;br&gt;🅱1️⃣___________&lt;br&gt;&lt;br&gt;🅱2️⃣___________&lt;/mark&gt;"</f>
        <v/>
      </c>
      <c r="V39" t="inlineStr"/>
      <c r="W39" t="inlineStr"/>
      <c r="X39" t="inlineStr"/>
      <c r="Y39">
        <f>INPUT!$B$7</f>
        <v/>
      </c>
      <c r="Z39">
        <f>INPUT!$B$8</f>
        <v/>
      </c>
      <c r="AA39">
        <f>IFERROR(VLOOKUP($P$39,INPUT!$A$48:$I$156,5,FALSE),"")</f>
        <v/>
      </c>
      <c r="AB39">
        <f>IFERROR(VLOOKUP($AA$39,INPUT!$A$18:$D$24,2,FALSE),"")</f>
        <v/>
      </c>
      <c r="AC39">
        <f>INPUT!$B$9</f>
        <v/>
      </c>
      <c r="AD39" t="inlineStr"/>
      <c r="AE39" t="inlineStr"/>
      <c r="AF39">
        <f>IFERROR(VLOOKUP($AA$39,INPUT!$A$18:$D$24,3,FALSE),"")</f>
        <v/>
      </c>
      <c r="AG39">
        <f>INPUT!$B$10</f>
        <v/>
      </c>
      <c r="AH39">
        <f>IFERROR(VLOOKUP($AA$39,INPUT!$A$18:$D$24,4,FALSE),"")</f>
        <v/>
      </c>
      <c r="AI39">
        <f>INPUT!$B$11</f>
        <v/>
      </c>
      <c r="AJ39">
        <f>INPUT!$B$12</f>
        <v/>
      </c>
      <c r="AK39">
        <f>INPUT!$B$13</f>
        <v/>
      </c>
      <c r="AL39">
        <f>INPUT!$B$14</f>
        <v/>
      </c>
      <c r="AM39">
        <f>INPUT!$B$15</f>
        <v/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>
        <f>IFERROR(VLOOKUP($P$39,INPUT!$A$48:$I$156,7,FALSE),"")</f>
        <v/>
      </c>
      <c r="BE39">
        <f>IFERROR(VLOOKUP($P$39,INPUT!$A$48:$I$156,8,FALSE),"")</f>
        <v/>
      </c>
      <c r="BF39">
        <f>IFERROR(VLOOKUP($P$39,INPUT!$A$48:$I$156,9,FALSE),"")</f>
        <v/>
      </c>
      <c r="BG39">
        <f>IF(TRIM($Q$39)&lt;&gt;"",TRIM($Q$39),TRIM($R$39))</f>
        <v/>
      </c>
    </row>
    <row r="40">
      <c r="A40">
        <f>INPUT!$B$5</f>
        <v/>
      </c>
      <c r="B40" t="inlineStr">
        <is>
          <t>03</t>
        </is>
      </c>
      <c r="C40" t="inlineStr"/>
      <c r="D40" t="inlineStr"/>
      <c r="E40" t="inlineStr"/>
      <c r="F40" t="inlineStr"/>
      <c r="G40">
        <f>INPUT!$B$6</f>
        <v/>
      </c>
      <c r="H40">
        <f>IFERROR(VLOOKUP($P$40,INPUT!$A$48:$I$156,6,FALSE),"")</f>
        <v/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wouldyourather_c0103</t>
        </is>
      </c>
      <c r="Q40">
        <f>IFERROR(VLOOKUP($P$40,INPUT!$A$48:$I$156,4,FALSE),"")</f>
        <v/>
      </c>
      <c r="R40">
        <f>IFERROR(VLOOKUP($P$40,INPUT!$A$48:$I$156,3,FALSE),"")</f>
        <v/>
      </c>
      <c r="S40" t="inlineStr"/>
      <c r="T40" t="inlineStr"/>
      <c r="U40">
        <f>"&lt;aside&gt;🅰1️⃣"&amp;$H$38&amp;"&lt;br&gt;&lt;br&gt;🅰2️⃣"&amp;$H$39&amp;"&lt;br&gt;&lt;br&gt;&lt;strong&gt;🅱1️⃣"&amp;$H$40&amp;"&lt;/strong&gt;&lt;br&gt;&lt;br&gt;🅱2️⃣___________&lt;/mark&gt;"</f>
        <v/>
      </c>
      <c r="V40" t="inlineStr"/>
      <c r="W40" t="inlineStr"/>
      <c r="X40" t="inlineStr"/>
      <c r="Y40">
        <f>INPUT!$B$7</f>
        <v/>
      </c>
      <c r="Z40">
        <f>INPUT!$B$8</f>
        <v/>
      </c>
      <c r="AA40">
        <f>IFERROR(VLOOKUP($P$40,INPUT!$A$48:$I$156,5,FALSE),"")</f>
        <v/>
      </c>
      <c r="AB40">
        <f>IFERROR(VLOOKUP($AA$40,INPUT!$A$18:$D$24,2,FALSE),"")</f>
        <v/>
      </c>
      <c r="AC40">
        <f>INPUT!$B$9</f>
        <v/>
      </c>
      <c r="AD40" t="inlineStr"/>
      <c r="AE40" t="inlineStr"/>
      <c r="AF40">
        <f>IFERROR(VLOOKUP($AA$40,INPUT!$A$18:$D$24,3,FALSE),"")</f>
        <v/>
      </c>
      <c r="AG40">
        <f>INPUT!$B$10</f>
        <v/>
      </c>
      <c r="AH40">
        <f>IFERROR(VLOOKUP($AA$40,INPUT!$A$18:$D$24,4,FALSE),"")</f>
        <v/>
      </c>
      <c r="AI40">
        <f>INPUT!$B$11</f>
        <v/>
      </c>
      <c r="AJ40">
        <f>INPUT!$B$12</f>
        <v/>
      </c>
      <c r="AK40">
        <f>INPUT!$B$13</f>
        <v/>
      </c>
      <c r="AL40">
        <f>INPUT!$B$14</f>
        <v/>
      </c>
      <c r="AM40">
        <f>INPUT!$B$15</f>
        <v/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>
        <f>IFERROR(VLOOKUP($P$40,INPUT!$A$48:$I$156,7,FALSE),"")</f>
        <v/>
      </c>
      <c r="BE40">
        <f>IFERROR(VLOOKUP($P$40,INPUT!$A$48:$I$156,8,FALSE),"")</f>
        <v/>
      </c>
      <c r="BF40">
        <f>IFERROR(VLOOKUP($P$40,INPUT!$A$48:$I$156,9,FALSE),"")</f>
        <v/>
      </c>
      <c r="BG40">
        <f>IF(TRIM($Q$40)&lt;&gt;"",TRIM($Q$40),TRIM($R$40))</f>
        <v/>
      </c>
    </row>
    <row r="41">
      <c r="A41">
        <f>INPUT!$B$5</f>
        <v/>
      </c>
      <c r="B41" t="inlineStr">
        <is>
          <t>04</t>
        </is>
      </c>
      <c r="C41" t="inlineStr"/>
      <c r="D41" t="inlineStr"/>
      <c r="E41" t="inlineStr"/>
      <c r="F41" t="inlineStr"/>
      <c r="G41">
        <f>INPUT!$B$6</f>
        <v/>
      </c>
      <c r="H41">
        <f>IFERROR(VLOOKUP($P$41,INPUT!$A$48:$I$156,6,FALSE),"")</f>
        <v/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wouldyourather_c0104</t>
        </is>
      </c>
      <c r="Q41">
        <f>IFERROR(VLOOKUP($P$41,INPUT!$A$48:$I$156,4,FALSE),"")</f>
        <v/>
      </c>
      <c r="R41">
        <f>IFERROR(VLOOKUP($P$41,INPUT!$A$48:$I$156,3,FALSE),"")</f>
        <v/>
      </c>
      <c r="S41" t="inlineStr"/>
      <c r="T41" t="inlineStr"/>
      <c r="U41">
        <f>"&lt;aside&gt;🅰1️⃣"&amp;$H$38&amp;"&lt;br&gt;&lt;br&gt;🅰2️⃣"&amp;$H$39&amp;"&lt;br&gt;&lt;br&gt;🅱1️⃣"&amp;$H$40&amp;"&lt;br&gt;&lt;br&gt;&lt;strong&gt;🅱2️⃣"&amp;$H$41&amp;"&lt;/mark&gt;"</f>
        <v/>
      </c>
      <c r="V41" t="inlineStr"/>
      <c r="W41" t="inlineStr"/>
      <c r="X41" t="inlineStr"/>
      <c r="Y41">
        <f>INPUT!$B$7</f>
        <v/>
      </c>
      <c r="Z41">
        <f>INPUT!$B$8</f>
        <v/>
      </c>
      <c r="AA41">
        <f>IFERROR(VLOOKUP($P$41,INPUT!$A$48:$I$156,5,FALSE),"")</f>
        <v/>
      </c>
      <c r="AB41">
        <f>IFERROR(VLOOKUP($AA$41,INPUT!$A$18:$D$24,2,FALSE),"")</f>
        <v/>
      </c>
      <c r="AC41">
        <f>INPUT!$B$9</f>
        <v/>
      </c>
      <c r="AD41" t="inlineStr"/>
      <c r="AE41" t="inlineStr"/>
      <c r="AF41">
        <f>IFERROR(VLOOKUP($AA$41,INPUT!$A$18:$D$24,3,FALSE),"")</f>
        <v/>
      </c>
      <c r="AG41">
        <f>INPUT!$B$10</f>
        <v/>
      </c>
      <c r="AH41">
        <f>IFERROR(VLOOKUP($AA$41,INPUT!$A$18:$D$24,4,FALSE),"")</f>
        <v/>
      </c>
      <c r="AI41">
        <f>INPUT!$B$11</f>
        <v/>
      </c>
      <c r="AJ41">
        <f>INPUT!$B$12</f>
        <v/>
      </c>
      <c r="AK41">
        <f>INPUT!$B$13</f>
        <v/>
      </c>
      <c r="AL41">
        <f>INPUT!$B$14</f>
        <v/>
      </c>
      <c r="AM41">
        <f>INPUT!$B$15</f>
        <v/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>
        <f>IFERROR(VLOOKUP($P$41,INPUT!$A$48:$I$156,7,FALSE),"")</f>
        <v/>
      </c>
      <c r="BE41">
        <f>IFERROR(VLOOKUP($P$41,INPUT!$A$48:$I$156,8,FALSE),"")</f>
        <v/>
      </c>
      <c r="BF41">
        <f>IFERROR(VLOOKUP($P$41,INPUT!$A$48:$I$156,9,FALSE),"")</f>
        <v/>
      </c>
      <c r="BG41">
        <f>IF(TRIM($Q$41)&lt;&gt;"",TRIM($Q$41),TRIM($R$41))</f>
        <v/>
      </c>
    </row>
    <row r="42">
      <c r="A42">
        <f>INPUT!$B$5</f>
        <v/>
      </c>
      <c r="B42" t="inlineStr">
        <is>
          <t>01</t>
        </is>
      </c>
      <c r="C42" t="inlineStr"/>
      <c r="D42" t="inlineStr"/>
      <c r="E42" t="inlineStr"/>
      <c r="F42" t="inlineStr"/>
      <c r="G42">
        <f>INPUT!$B$6</f>
        <v/>
      </c>
      <c r="H42">
        <f>IFERROR(VLOOKUP($P$42,INPUT!$A$48:$I$156,6,FALSE),"")</f>
        <v/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wouldyourather_c0201</t>
        </is>
      </c>
      <c r="Q42">
        <f>IFERROR(VLOOKUP($P$42,INPUT!$A$48:$I$156,4,FALSE),"")</f>
        <v/>
      </c>
      <c r="R42">
        <f>IFERROR(VLOOKUP($P$42,INPUT!$A$48:$I$156,3,FALSE),"")</f>
        <v/>
      </c>
      <c r="S42" t="inlineStr"/>
      <c r="T42" t="inlineStr"/>
      <c r="U42">
        <f>"&lt;aside&gt;&lt;strong&gt;🅰1️⃣"&amp;$H$42&amp;"&lt;/strong&gt;&lt;br&gt;&lt;br&gt;🅰2️⃣___________&lt;br&gt;&lt;br&gt;🅱1️⃣___________&lt;br&gt;&lt;br&gt;🅱2️⃣___________&gt;&lt;/mark&gt;"</f>
        <v/>
      </c>
      <c r="V42" t="inlineStr"/>
      <c r="W42" t="inlineStr"/>
      <c r="X42" t="inlineStr"/>
      <c r="Y42">
        <f>INPUT!$B$7</f>
        <v/>
      </c>
      <c r="Z42">
        <f>INPUT!$B$8</f>
        <v/>
      </c>
      <c r="AA42">
        <f>IFERROR(VLOOKUP($P$42,INPUT!$A$48:$I$156,5,FALSE),"")</f>
        <v/>
      </c>
      <c r="AB42">
        <f>IFERROR(VLOOKUP($AA$42,INPUT!$A$18:$D$24,2,FALSE),"")</f>
        <v/>
      </c>
      <c r="AC42">
        <f>INPUT!$B$9</f>
        <v/>
      </c>
      <c r="AD42" t="inlineStr"/>
      <c r="AE42" t="inlineStr"/>
      <c r="AF42">
        <f>IFERROR(VLOOKUP($AA$42,INPUT!$A$18:$D$24,3,FALSE),"")</f>
        <v/>
      </c>
      <c r="AG42">
        <f>INPUT!$B$10</f>
        <v/>
      </c>
      <c r="AH42">
        <f>IFERROR(VLOOKUP($AA$42,INPUT!$A$18:$D$24,4,FALSE),"")</f>
        <v/>
      </c>
      <c r="AI42">
        <f>INPUT!$B$11</f>
        <v/>
      </c>
      <c r="AJ42">
        <f>INPUT!$B$12</f>
        <v/>
      </c>
      <c r="AK42">
        <f>INPUT!$B$13</f>
        <v/>
      </c>
      <c r="AL42">
        <f>INPUT!$B$14</f>
        <v/>
      </c>
      <c r="AM42">
        <f>INPUT!$B$15</f>
        <v/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>
        <f>IFERROR(VLOOKUP($P$42,INPUT!$A$48:$I$156,7,FALSE),"")</f>
        <v/>
      </c>
      <c r="BE42">
        <f>IFERROR(VLOOKUP($P$42,INPUT!$A$48:$I$156,8,FALSE),"")</f>
        <v/>
      </c>
      <c r="BF42">
        <f>IFERROR(VLOOKUP($P$42,INPUT!$A$48:$I$156,9,FALSE),"")</f>
        <v/>
      </c>
      <c r="BG42">
        <f>IF(TRIM($Q$42)&lt;&gt;"",TRIM($Q$42),TRIM($R$42))</f>
        <v/>
      </c>
    </row>
    <row r="43">
      <c r="A43">
        <f>INPUT!$B$5</f>
        <v/>
      </c>
      <c r="B43" t="inlineStr">
        <is>
          <t>02</t>
        </is>
      </c>
      <c r="C43" t="inlineStr"/>
      <c r="D43" t="inlineStr"/>
      <c r="E43" t="inlineStr"/>
      <c r="F43" t="inlineStr"/>
      <c r="G43">
        <f>INPUT!$B$6</f>
        <v/>
      </c>
      <c r="H43">
        <f>IFERROR(VLOOKUP($P$43,INPUT!$A$48:$I$156,6,FALSE),"")</f>
        <v/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wouldyourather_c0202</t>
        </is>
      </c>
      <c r="Q43">
        <f>IFERROR(VLOOKUP($P$43,INPUT!$A$48:$I$156,4,FALSE),"")</f>
        <v/>
      </c>
      <c r="R43">
        <f>IFERROR(VLOOKUP($P$43,INPUT!$A$48:$I$156,3,FALSE),"")</f>
        <v/>
      </c>
      <c r="S43" t="inlineStr"/>
      <c r="T43" t="inlineStr"/>
      <c r="U43">
        <f>"&lt;aside&gt;🅰1️⃣"&amp;$H$42&amp;"&lt;br&gt;&lt;br&gt;&lt;strong&gt;🅰2️⃣"&amp;$H$43&amp;"&lt;/strong&gt;&lt;br&gt;&lt;br&gt;🅱1️⃣___________&lt;br&gt;&lt;br&gt;🅱2️⃣___________&lt;/mark&gt;"</f>
        <v/>
      </c>
      <c r="V43" t="inlineStr"/>
      <c r="W43" t="inlineStr"/>
      <c r="X43" t="inlineStr"/>
      <c r="Y43">
        <f>INPUT!$B$7</f>
        <v/>
      </c>
      <c r="Z43">
        <f>INPUT!$B$8</f>
        <v/>
      </c>
      <c r="AA43">
        <f>IFERROR(VLOOKUP($P$43,INPUT!$A$48:$I$156,5,FALSE),"")</f>
        <v/>
      </c>
      <c r="AB43">
        <f>IFERROR(VLOOKUP($AA$43,INPUT!$A$18:$D$24,2,FALSE),"")</f>
        <v/>
      </c>
      <c r="AC43">
        <f>INPUT!$B$9</f>
        <v/>
      </c>
      <c r="AD43" t="inlineStr"/>
      <c r="AE43" t="inlineStr"/>
      <c r="AF43">
        <f>IFERROR(VLOOKUP($AA$43,INPUT!$A$18:$D$24,3,FALSE),"")</f>
        <v/>
      </c>
      <c r="AG43">
        <f>INPUT!$B$10</f>
        <v/>
      </c>
      <c r="AH43">
        <f>IFERROR(VLOOKUP($AA$43,INPUT!$A$18:$D$24,4,FALSE),"")</f>
        <v/>
      </c>
      <c r="AI43">
        <f>INPUT!$B$11</f>
        <v/>
      </c>
      <c r="AJ43">
        <f>INPUT!$B$12</f>
        <v/>
      </c>
      <c r="AK43">
        <f>INPUT!$B$13</f>
        <v/>
      </c>
      <c r="AL43">
        <f>INPUT!$B$14</f>
        <v/>
      </c>
      <c r="AM43">
        <f>INPUT!$B$15</f>
        <v/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>
        <f>IFERROR(VLOOKUP($P$43,INPUT!$A$48:$I$156,7,FALSE),"")</f>
        <v/>
      </c>
      <c r="BE43">
        <f>IFERROR(VLOOKUP($P$43,INPUT!$A$48:$I$156,8,FALSE),"")</f>
        <v/>
      </c>
      <c r="BF43">
        <f>IFERROR(VLOOKUP($P$43,INPUT!$A$48:$I$156,9,FALSE),"")</f>
        <v/>
      </c>
      <c r="BG43">
        <f>IF(TRIM($Q$43)&lt;&gt;"",TRIM($Q$43),TRIM($R$43))</f>
        <v/>
      </c>
    </row>
    <row r="44">
      <c r="A44">
        <f>INPUT!$B$5</f>
        <v/>
      </c>
      <c r="B44" t="inlineStr">
        <is>
          <t>03</t>
        </is>
      </c>
      <c r="C44" t="inlineStr"/>
      <c r="D44" t="inlineStr"/>
      <c r="E44" t="inlineStr"/>
      <c r="F44" t="inlineStr"/>
      <c r="G44">
        <f>INPUT!$B$6</f>
        <v/>
      </c>
      <c r="H44">
        <f>IFERROR(VLOOKUP($P$44,INPUT!$A$48:$I$156,6,FALSE),"")</f>
        <v/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wouldyourather_c0203</t>
        </is>
      </c>
      <c r="Q44">
        <f>IFERROR(VLOOKUP($P$44,INPUT!$A$48:$I$156,4,FALSE),"")</f>
        <v/>
      </c>
      <c r="R44">
        <f>IFERROR(VLOOKUP($P$44,INPUT!$A$48:$I$156,3,FALSE),"")</f>
        <v/>
      </c>
      <c r="S44" t="inlineStr"/>
      <c r="T44" t="inlineStr"/>
      <c r="U44">
        <f>"&lt;aside&gt;🅰1️⃣"&amp;$H$42&amp;"&lt;br&gt;&lt;br&gt;🅰2️⃣"&amp;$H$43&amp;"&lt;br&gt;&lt;br&gt;&lt;strong&gt;🅱1️⃣"&amp;$H$44&amp;"&lt;/strong&gt;&lt;br&gt;&lt;br&gt;🅱2️⃣___________&lt;/mark&gt;"</f>
        <v/>
      </c>
      <c r="V44" t="inlineStr"/>
      <c r="W44" t="inlineStr"/>
      <c r="X44" t="inlineStr"/>
      <c r="Y44">
        <f>INPUT!$B$7</f>
        <v/>
      </c>
      <c r="Z44">
        <f>INPUT!$B$8</f>
        <v/>
      </c>
      <c r="AA44">
        <f>IFERROR(VLOOKUP($P$44,INPUT!$A$48:$I$156,5,FALSE),"")</f>
        <v/>
      </c>
      <c r="AB44">
        <f>IFERROR(VLOOKUP($AA$44,INPUT!$A$18:$D$24,2,FALSE),"")</f>
        <v/>
      </c>
      <c r="AC44">
        <f>INPUT!$B$9</f>
        <v/>
      </c>
      <c r="AD44" t="inlineStr"/>
      <c r="AE44" t="inlineStr"/>
      <c r="AF44">
        <f>IFERROR(VLOOKUP($AA$44,INPUT!$A$18:$D$24,3,FALSE),"")</f>
        <v/>
      </c>
      <c r="AG44">
        <f>INPUT!$B$10</f>
        <v/>
      </c>
      <c r="AH44">
        <f>IFERROR(VLOOKUP($AA$44,INPUT!$A$18:$D$24,4,FALSE),"")</f>
        <v/>
      </c>
      <c r="AI44">
        <f>INPUT!$B$11</f>
        <v/>
      </c>
      <c r="AJ44">
        <f>INPUT!$B$12</f>
        <v/>
      </c>
      <c r="AK44">
        <f>INPUT!$B$13</f>
        <v/>
      </c>
      <c r="AL44">
        <f>INPUT!$B$14</f>
        <v/>
      </c>
      <c r="AM44">
        <f>INPUT!$B$15</f>
        <v/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>
        <f>IFERROR(VLOOKUP($P$44,INPUT!$A$48:$I$156,7,FALSE),"")</f>
        <v/>
      </c>
      <c r="BE44">
        <f>IFERROR(VLOOKUP($P$44,INPUT!$A$48:$I$156,8,FALSE),"")</f>
        <v/>
      </c>
      <c r="BF44">
        <f>IFERROR(VLOOKUP($P$44,INPUT!$A$48:$I$156,9,FALSE),"")</f>
        <v/>
      </c>
      <c r="BG44">
        <f>IF(TRIM($Q$44)&lt;&gt;"",TRIM($Q$44),TRIM($R$44))</f>
        <v/>
      </c>
    </row>
    <row r="45">
      <c r="A45">
        <f>INPUT!$B$5</f>
        <v/>
      </c>
      <c r="B45" t="inlineStr">
        <is>
          <t>04</t>
        </is>
      </c>
      <c r="C45" t="inlineStr"/>
      <c r="D45" t="inlineStr"/>
      <c r="E45" t="inlineStr"/>
      <c r="F45" t="inlineStr"/>
      <c r="G45">
        <f>INPUT!$B$6</f>
        <v/>
      </c>
      <c r="H45">
        <f>IFERROR(VLOOKUP($P$45,INPUT!$A$48:$I$156,6,FALSE),"")</f>
        <v/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wouldyourather_c0204</t>
        </is>
      </c>
      <c r="Q45">
        <f>IFERROR(VLOOKUP($P$45,INPUT!$A$48:$I$156,4,FALSE),"")</f>
        <v/>
      </c>
      <c r="R45">
        <f>IFERROR(VLOOKUP($P$45,INPUT!$A$48:$I$156,3,FALSE),"")</f>
        <v/>
      </c>
      <c r="S45" t="inlineStr"/>
      <c r="T45" t="inlineStr"/>
      <c r="U45">
        <f>"&lt;aside&gt;🅰1️⃣"&amp;$H$42&amp;"&lt;br&gt;&lt;br&gt;🅰2️⃣"&amp;$H$43&amp;"&lt;br&gt;&lt;br&gt;🅱1️⃣"&amp;$H$44&amp;"&lt;br&gt;&lt;br&gt;&lt;strong&gt;🅱2️⃣"&amp;$H$45&amp;"&lt;/mark&gt;"</f>
        <v/>
      </c>
      <c r="V45" t="inlineStr"/>
      <c r="W45" t="inlineStr"/>
      <c r="X45" t="inlineStr"/>
      <c r="Y45">
        <f>INPUT!$B$7</f>
        <v/>
      </c>
      <c r="Z45">
        <f>INPUT!$B$8</f>
        <v/>
      </c>
      <c r="AA45">
        <f>IFERROR(VLOOKUP($P$45,INPUT!$A$48:$I$156,5,FALSE),"")</f>
        <v/>
      </c>
      <c r="AB45">
        <f>IFERROR(VLOOKUP($AA$45,INPUT!$A$18:$D$24,2,FALSE),"")</f>
        <v/>
      </c>
      <c r="AC45">
        <f>INPUT!$B$9</f>
        <v/>
      </c>
      <c r="AD45" t="inlineStr"/>
      <c r="AE45" t="inlineStr"/>
      <c r="AF45">
        <f>IFERROR(VLOOKUP($AA$45,INPUT!$A$18:$D$24,3,FALSE),"")</f>
        <v/>
      </c>
      <c r="AG45">
        <f>INPUT!$B$10</f>
        <v/>
      </c>
      <c r="AH45">
        <f>IFERROR(VLOOKUP($AA$45,INPUT!$A$18:$D$24,4,FALSE),"")</f>
        <v/>
      </c>
      <c r="AI45">
        <f>INPUT!$B$11</f>
        <v/>
      </c>
      <c r="AJ45">
        <f>INPUT!$B$12</f>
        <v/>
      </c>
      <c r="AK45">
        <f>INPUT!$B$13</f>
        <v/>
      </c>
      <c r="AL45">
        <f>INPUT!$B$14</f>
        <v/>
      </c>
      <c r="AM45">
        <f>INPUT!$B$15</f>
        <v/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>
        <f>IFERROR(VLOOKUP($P$45,INPUT!$A$48:$I$156,7,FALSE),"")</f>
        <v/>
      </c>
      <c r="BE45">
        <f>IFERROR(VLOOKUP($P$45,INPUT!$A$48:$I$156,8,FALSE),"")</f>
        <v/>
      </c>
      <c r="BF45">
        <f>IFERROR(VLOOKUP($P$45,INPUT!$A$48:$I$156,9,FALSE),"")</f>
        <v/>
      </c>
      <c r="BG45">
        <f>IF(TRIM($Q$45)&lt;&gt;"",TRIM($Q$45),TRIM($R$45))</f>
        <v/>
      </c>
    </row>
    <row r="46">
      <c r="A46">
        <f>INPUT!$B$5</f>
        <v/>
      </c>
      <c r="B46" t="inlineStr">
        <is>
          <t>01</t>
        </is>
      </c>
      <c r="C46" t="inlineStr"/>
      <c r="D46" t="inlineStr"/>
      <c r="E46" t="inlineStr"/>
      <c r="F46" t="inlineStr"/>
      <c r="G46">
        <f>INPUT!$B$6</f>
        <v/>
      </c>
      <c r="H46">
        <f>IFERROR(VLOOKUP($P$46,INPUT!$A$48:$I$156,6,FALSE),"")</f>
        <v/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wouldyourather_c0301</t>
        </is>
      </c>
      <c r="Q46">
        <f>IFERROR(VLOOKUP($P$46,INPUT!$A$48:$I$156,4,FALSE),"")</f>
        <v/>
      </c>
      <c r="R46">
        <f>IFERROR(VLOOKUP($P$46,INPUT!$A$48:$I$156,3,FALSE),"")</f>
        <v/>
      </c>
      <c r="S46" t="inlineStr"/>
      <c r="T46" t="inlineStr"/>
      <c r="U46">
        <f>"&lt;aside&gt;&lt;strong&gt;🅰1️⃣"&amp;$H$46&amp;"&lt;/strong&gt;&lt;br&gt;&lt;br&gt;🅰2️⃣___________&lt;br&gt;&lt;br&gt;🅱1️⃣___________&lt;br&gt;&lt;br&gt;🅱2️⃣___________&gt;&lt;/mark&gt;"</f>
        <v/>
      </c>
      <c r="V46" t="inlineStr"/>
      <c r="W46" t="inlineStr"/>
      <c r="X46" t="inlineStr"/>
      <c r="Y46">
        <f>INPUT!$B$7</f>
        <v/>
      </c>
      <c r="Z46">
        <f>INPUT!$B$8</f>
        <v/>
      </c>
      <c r="AA46">
        <f>IFERROR(VLOOKUP($P$46,INPUT!$A$48:$I$156,5,FALSE),"")</f>
        <v/>
      </c>
      <c r="AB46">
        <f>IFERROR(VLOOKUP($AA$46,INPUT!$A$18:$D$24,2,FALSE),"")</f>
        <v/>
      </c>
      <c r="AC46">
        <f>INPUT!$B$9</f>
        <v/>
      </c>
      <c r="AD46" t="inlineStr"/>
      <c r="AE46" t="inlineStr"/>
      <c r="AF46">
        <f>IFERROR(VLOOKUP($AA$46,INPUT!$A$18:$D$24,3,FALSE),"")</f>
        <v/>
      </c>
      <c r="AG46">
        <f>INPUT!$B$10</f>
        <v/>
      </c>
      <c r="AH46">
        <f>IFERROR(VLOOKUP($AA$46,INPUT!$A$18:$D$24,4,FALSE),"")</f>
        <v/>
      </c>
      <c r="AI46">
        <f>INPUT!$B$11</f>
        <v/>
      </c>
      <c r="AJ46">
        <f>INPUT!$B$12</f>
        <v/>
      </c>
      <c r="AK46">
        <f>INPUT!$B$13</f>
        <v/>
      </c>
      <c r="AL46">
        <f>INPUT!$B$14</f>
        <v/>
      </c>
      <c r="AM46">
        <f>INPUT!$B$15</f>
        <v/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>
        <f>IFERROR(VLOOKUP($P$46,INPUT!$A$48:$I$156,7,FALSE),"")</f>
        <v/>
      </c>
      <c r="BE46">
        <f>IFERROR(VLOOKUP($P$46,INPUT!$A$48:$I$156,8,FALSE),"")</f>
        <v/>
      </c>
      <c r="BF46">
        <f>IFERROR(VLOOKUP($P$46,INPUT!$A$48:$I$156,9,FALSE),"")</f>
        <v/>
      </c>
      <c r="BG46">
        <f>IF(TRIM($Q$46)&lt;&gt;"",TRIM($Q$46),TRIM($R$46))</f>
        <v/>
      </c>
    </row>
    <row r="47">
      <c r="A47">
        <f>INPUT!$B$5</f>
        <v/>
      </c>
      <c r="B47" t="inlineStr">
        <is>
          <t>02</t>
        </is>
      </c>
      <c r="C47" t="inlineStr"/>
      <c r="D47" t="inlineStr"/>
      <c r="E47" t="inlineStr"/>
      <c r="F47" t="inlineStr"/>
      <c r="G47">
        <f>INPUT!$B$6</f>
        <v/>
      </c>
      <c r="H47">
        <f>IFERROR(VLOOKUP($P$47,INPUT!$A$48:$I$156,6,FALSE),"")</f>
        <v/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wouldyourather_c0302</t>
        </is>
      </c>
      <c r="Q47">
        <f>IFERROR(VLOOKUP($P$47,INPUT!$A$48:$I$156,4,FALSE),"")</f>
        <v/>
      </c>
      <c r="R47">
        <f>IFERROR(VLOOKUP($P$47,INPUT!$A$48:$I$156,3,FALSE),"")</f>
        <v/>
      </c>
      <c r="S47" t="inlineStr"/>
      <c r="T47" t="inlineStr"/>
      <c r="U47">
        <f>"&lt;aside&gt;🅰1️⃣"&amp;$H$46&amp;"&lt;br&gt;&lt;br&gt;&lt;strong&gt;🅰2️⃣"&amp;$H$47&amp;"&lt;/strong&gt;&lt;br&gt;&lt;br&gt;🅱1️⃣___________&lt;br&gt;&lt;br&gt;🅱2️⃣___________&lt;/mark&gt;"</f>
        <v/>
      </c>
      <c r="V47" t="inlineStr"/>
      <c r="W47" t="inlineStr"/>
      <c r="X47" t="inlineStr"/>
      <c r="Y47">
        <f>INPUT!$B$7</f>
        <v/>
      </c>
      <c r="Z47">
        <f>INPUT!$B$8</f>
        <v/>
      </c>
      <c r="AA47">
        <f>IFERROR(VLOOKUP($P$47,INPUT!$A$48:$I$156,5,FALSE),"")</f>
        <v/>
      </c>
      <c r="AB47">
        <f>IFERROR(VLOOKUP($AA$47,INPUT!$A$18:$D$24,2,FALSE),"")</f>
        <v/>
      </c>
      <c r="AC47">
        <f>INPUT!$B$9</f>
        <v/>
      </c>
      <c r="AD47" t="inlineStr"/>
      <c r="AE47" t="inlineStr"/>
      <c r="AF47">
        <f>IFERROR(VLOOKUP($AA$47,INPUT!$A$18:$D$24,3,FALSE),"")</f>
        <v/>
      </c>
      <c r="AG47">
        <f>INPUT!$B$10</f>
        <v/>
      </c>
      <c r="AH47">
        <f>IFERROR(VLOOKUP($AA$47,INPUT!$A$18:$D$24,4,FALSE),"")</f>
        <v/>
      </c>
      <c r="AI47">
        <f>INPUT!$B$11</f>
        <v/>
      </c>
      <c r="AJ47">
        <f>INPUT!$B$12</f>
        <v/>
      </c>
      <c r="AK47">
        <f>INPUT!$B$13</f>
        <v/>
      </c>
      <c r="AL47">
        <f>INPUT!$B$14</f>
        <v/>
      </c>
      <c r="AM47">
        <f>INPUT!$B$15</f>
        <v/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>
        <f>IFERROR(VLOOKUP($P$47,INPUT!$A$48:$I$156,7,FALSE),"")</f>
        <v/>
      </c>
      <c r="BE47">
        <f>IFERROR(VLOOKUP($P$47,INPUT!$A$48:$I$156,8,FALSE),"")</f>
        <v/>
      </c>
      <c r="BF47">
        <f>IFERROR(VLOOKUP($P$47,INPUT!$A$48:$I$156,9,FALSE),"")</f>
        <v/>
      </c>
      <c r="BG47">
        <f>IF(TRIM($Q$47)&lt;&gt;"",TRIM($Q$47),TRIM($R$47))</f>
        <v/>
      </c>
    </row>
    <row r="48">
      <c r="A48">
        <f>INPUT!$B$5</f>
        <v/>
      </c>
      <c r="B48" t="inlineStr">
        <is>
          <t>03</t>
        </is>
      </c>
      <c r="C48" t="inlineStr"/>
      <c r="D48" t="inlineStr"/>
      <c r="E48" t="inlineStr"/>
      <c r="F48" t="inlineStr"/>
      <c r="G48">
        <f>INPUT!$B$6</f>
        <v/>
      </c>
      <c r="H48">
        <f>IFERROR(VLOOKUP($P$48,INPUT!$A$48:$I$156,6,FALSE),"")</f>
        <v/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wouldyourather_c0303</t>
        </is>
      </c>
      <c r="Q48">
        <f>IFERROR(VLOOKUP($P$48,INPUT!$A$48:$I$156,4,FALSE),"")</f>
        <v/>
      </c>
      <c r="R48">
        <f>IFERROR(VLOOKUP($P$48,INPUT!$A$48:$I$156,3,FALSE),"")</f>
        <v/>
      </c>
      <c r="S48" t="inlineStr"/>
      <c r="T48" t="inlineStr"/>
      <c r="U48">
        <f>"&lt;aside&gt;🅰1️⃣"&amp;$H$46&amp;"&lt;br&gt;&lt;br&gt;🅰2️⃣"&amp;$H$47&amp;"&lt;br&gt;&lt;br&gt;&lt;strong&gt;🅱1️⃣"&amp;$H$48&amp;"&lt;/strong&gt;&lt;br&gt;&lt;br&gt;🅱2️⃣___________&lt;/mark&gt;"</f>
        <v/>
      </c>
      <c r="V48" t="inlineStr"/>
      <c r="W48" t="inlineStr"/>
      <c r="X48" t="inlineStr"/>
      <c r="Y48">
        <f>INPUT!$B$7</f>
        <v/>
      </c>
      <c r="Z48">
        <f>INPUT!$B$8</f>
        <v/>
      </c>
      <c r="AA48">
        <f>IFERROR(VLOOKUP($P$48,INPUT!$A$48:$I$156,5,FALSE),"")</f>
        <v/>
      </c>
      <c r="AB48">
        <f>IFERROR(VLOOKUP($AA$48,INPUT!$A$18:$D$24,2,FALSE),"")</f>
        <v/>
      </c>
      <c r="AC48">
        <f>INPUT!$B$9</f>
        <v/>
      </c>
      <c r="AD48" t="inlineStr"/>
      <c r="AE48" t="inlineStr"/>
      <c r="AF48">
        <f>IFERROR(VLOOKUP($AA$48,INPUT!$A$18:$D$24,3,FALSE),"")</f>
        <v/>
      </c>
      <c r="AG48">
        <f>INPUT!$B$10</f>
        <v/>
      </c>
      <c r="AH48">
        <f>IFERROR(VLOOKUP($AA$48,INPUT!$A$18:$D$24,4,FALSE),"")</f>
        <v/>
      </c>
      <c r="AI48">
        <f>INPUT!$B$11</f>
        <v/>
      </c>
      <c r="AJ48">
        <f>INPUT!$B$12</f>
        <v/>
      </c>
      <c r="AK48">
        <f>INPUT!$B$13</f>
        <v/>
      </c>
      <c r="AL48">
        <f>INPUT!$B$14</f>
        <v/>
      </c>
      <c r="AM48">
        <f>INPUT!$B$15</f>
        <v/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>
        <f>IFERROR(VLOOKUP($P$48,INPUT!$A$48:$I$156,7,FALSE),"")</f>
        <v/>
      </c>
      <c r="BE48">
        <f>IFERROR(VLOOKUP($P$48,INPUT!$A$48:$I$156,8,FALSE),"")</f>
        <v/>
      </c>
      <c r="BF48">
        <f>IFERROR(VLOOKUP($P$48,INPUT!$A$48:$I$156,9,FALSE),"")</f>
        <v/>
      </c>
      <c r="BG48">
        <f>IF(TRIM($Q$48)&lt;&gt;"",TRIM($Q$48),TRIM($R$48))</f>
        <v/>
      </c>
    </row>
    <row r="49">
      <c r="A49">
        <f>INPUT!$B$5</f>
        <v/>
      </c>
      <c r="B49" t="inlineStr">
        <is>
          <t>04</t>
        </is>
      </c>
      <c r="C49" t="inlineStr"/>
      <c r="D49" t="inlineStr"/>
      <c r="E49" t="inlineStr"/>
      <c r="F49" t="inlineStr"/>
      <c r="G49">
        <f>INPUT!$B$6</f>
        <v/>
      </c>
      <c r="H49">
        <f>IFERROR(VLOOKUP($P$49,INPUT!$A$48:$I$156,6,FALSE),"")</f>
        <v/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wouldyourather_c0304</t>
        </is>
      </c>
      <c r="Q49">
        <f>IFERROR(VLOOKUP($P$49,INPUT!$A$48:$I$156,4,FALSE),"")</f>
        <v/>
      </c>
      <c r="R49">
        <f>IFERROR(VLOOKUP($P$49,INPUT!$A$48:$I$156,3,FALSE),"")</f>
        <v/>
      </c>
      <c r="S49" t="inlineStr"/>
      <c r="T49" t="inlineStr"/>
      <c r="U49">
        <f>"&lt;aside&gt;🅰1️⃣"&amp;$H$46&amp;"&lt;br&gt;&lt;br&gt;🅰2️⃣"&amp;$H$47&amp;"&lt;br&gt;&lt;br&gt;🅱1️⃣"&amp;$H$48&amp;"&lt;br&gt;&lt;br&gt;&lt;strong&gt;🅱2️⃣"&amp;$H$49&amp;"&lt;/mark&gt;"</f>
        <v/>
      </c>
      <c r="V49" t="inlineStr"/>
      <c r="W49" t="inlineStr"/>
      <c r="X49" t="inlineStr"/>
      <c r="Y49">
        <f>INPUT!$B$7</f>
        <v/>
      </c>
      <c r="Z49">
        <f>INPUT!$B$8</f>
        <v/>
      </c>
      <c r="AA49">
        <f>IFERROR(VLOOKUP($P$49,INPUT!$A$48:$I$156,5,FALSE),"")</f>
        <v/>
      </c>
      <c r="AB49">
        <f>IFERROR(VLOOKUP($AA$49,INPUT!$A$18:$D$24,2,FALSE),"")</f>
        <v/>
      </c>
      <c r="AC49">
        <f>INPUT!$B$9</f>
        <v/>
      </c>
      <c r="AD49" t="inlineStr"/>
      <c r="AE49" t="inlineStr"/>
      <c r="AF49">
        <f>IFERROR(VLOOKUP($AA$49,INPUT!$A$18:$D$24,3,FALSE),"")</f>
        <v/>
      </c>
      <c r="AG49">
        <f>INPUT!$B$10</f>
        <v/>
      </c>
      <c r="AH49">
        <f>IFERROR(VLOOKUP($AA$49,INPUT!$A$18:$D$24,4,FALSE),"")</f>
        <v/>
      </c>
      <c r="AI49">
        <f>INPUT!$B$11</f>
        <v/>
      </c>
      <c r="AJ49">
        <f>INPUT!$B$12</f>
        <v/>
      </c>
      <c r="AK49">
        <f>INPUT!$B$13</f>
        <v/>
      </c>
      <c r="AL49">
        <f>INPUT!$B$14</f>
        <v/>
      </c>
      <c r="AM49">
        <f>INPUT!$B$15</f>
        <v/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>
        <f>IFERROR(VLOOKUP($P$49,INPUT!$A$48:$I$156,7,FALSE),"")</f>
        <v/>
      </c>
      <c r="BE49">
        <f>IFERROR(VLOOKUP($P$49,INPUT!$A$48:$I$156,8,FALSE),"")</f>
        <v/>
      </c>
      <c r="BF49">
        <f>IFERROR(VLOOKUP($P$49,INPUT!$A$48:$I$156,9,FALSE),"")</f>
        <v/>
      </c>
      <c r="BG49">
        <f>IF(TRIM($Q$49)&lt;&gt;"",TRIM($Q$49),TRIM($R$49))</f>
        <v/>
      </c>
    </row>
    <row r="50">
      <c r="A50">
        <f>INPUT!$B$5</f>
        <v/>
      </c>
      <c r="B50" t="inlineStr">
        <is>
          <t>01</t>
        </is>
      </c>
      <c r="C50" t="inlineStr"/>
      <c r="D50" t="inlineStr"/>
      <c r="E50" t="inlineStr"/>
      <c r="F50" t="inlineStr"/>
      <c r="G50">
        <f>INPUT!$B$6</f>
        <v/>
      </c>
      <c r="H50">
        <f>IFERROR(VLOOKUP($P$50,INPUT!$A$48:$I$156,6,FALSE),"")</f>
        <v/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wouldyourather_d01_i01</t>
        </is>
      </c>
      <c r="Q50">
        <f>IFERROR(VLOOKUP($P$50,INPUT!$A$48:$I$156,4,FALSE),"")</f>
        <v/>
      </c>
      <c r="R50">
        <f>IFERROR(VLOOKUP($P$50,INPUT!$A$48:$I$156,3,FALSE),"")</f>
        <v/>
      </c>
      <c r="S50" t="inlineStr"/>
      <c r="T50" t="inlineStr"/>
      <c r="U50">
        <f>"&lt;aside&gt;&lt;strong&gt;🅰1️⃣"&amp;$H$50&amp;"&lt;/strong&gt;&lt;br&gt;&lt;br&gt;🅰2️⃣___________&lt;br&gt;&lt;br&gt;🅱1️⃣___________&lt;br&gt;&lt;br&gt;🅱2️⃣___________&gt;&lt;/mark&gt;"</f>
        <v/>
      </c>
      <c r="V50" t="inlineStr"/>
      <c r="W50" t="inlineStr"/>
      <c r="X50" t="inlineStr"/>
      <c r="Y50">
        <f>INPUT!$B$7</f>
        <v/>
      </c>
      <c r="Z50">
        <f>INPUT!$B$8</f>
        <v/>
      </c>
      <c r="AA50">
        <f>IFERROR(VLOOKUP($P$50,INPUT!$A$48:$I$156,5,FALSE),"")</f>
        <v/>
      </c>
      <c r="AB50">
        <f>IFERROR(VLOOKUP($AA$50,INPUT!$A$18:$D$24,2,FALSE),"")</f>
        <v/>
      </c>
      <c r="AC50">
        <f>INPUT!$B$9</f>
        <v/>
      </c>
      <c r="AD50" t="inlineStr"/>
      <c r="AE50" t="inlineStr"/>
      <c r="AF50">
        <f>IFERROR(VLOOKUP($AA$50,INPUT!$A$18:$D$24,3,FALSE),"")</f>
        <v/>
      </c>
      <c r="AG50">
        <f>INPUT!$B$10</f>
        <v/>
      </c>
      <c r="AH50">
        <f>IFERROR(VLOOKUP($AA$50,INPUT!$A$18:$D$24,4,FALSE),"")</f>
        <v/>
      </c>
      <c r="AI50">
        <f>INPUT!$B$11</f>
        <v/>
      </c>
      <c r="AJ50">
        <f>INPUT!$B$12</f>
        <v/>
      </c>
      <c r="AK50">
        <f>INPUT!$B$13</f>
        <v/>
      </c>
      <c r="AL50">
        <f>INPUT!$B$14</f>
        <v/>
      </c>
      <c r="AM50">
        <f>INPUT!$B$15</f>
        <v/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>
        <f>IFERROR(VLOOKUP($P$50,INPUT!$A$48:$I$156,7,FALSE),"")</f>
        <v/>
      </c>
      <c r="BE50">
        <f>IFERROR(VLOOKUP($P$50,INPUT!$A$48:$I$156,8,FALSE),"")</f>
        <v/>
      </c>
      <c r="BF50">
        <f>IFERROR(VLOOKUP($P$50,INPUT!$A$48:$I$156,9,FALSE),"")</f>
        <v/>
      </c>
      <c r="BG50">
        <f>IF(TRIM($Q$50)&lt;&gt;"",TRIM($Q$50),TRIM($R$50))</f>
        <v/>
      </c>
    </row>
    <row r="51">
      <c r="A51">
        <f>INPUT!$B$5</f>
        <v/>
      </c>
      <c r="B51" t="inlineStr">
        <is>
          <t>02</t>
        </is>
      </c>
      <c r="C51" t="inlineStr"/>
      <c r="D51" t="inlineStr"/>
      <c r="E51" t="inlineStr"/>
      <c r="F51" t="inlineStr"/>
      <c r="G51">
        <f>INPUT!$B$6</f>
        <v/>
      </c>
      <c r="H51">
        <f>IFERROR(VLOOKUP($P$51,INPUT!$A$48:$I$156,6,FALSE),"")</f>
        <v/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wouldyourather_d01_i02</t>
        </is>
      </c>
      <c r="Q51">
        <f>IFERROR(VLOOKUP($P$51,INPUT!$A$48:$I$156,4,FALSE),"")</f>
        <v/>
      </c>
      <c r="R51">
        <f>IFERROR(VLOOKUP($P$51,INPUT!$A$48:$I$156,3,FALSE),"")</f>
        <v/>
      </c>
      <c r="S51" t="inlineStr"/>
      <c r="T51" t="inlineStr"/>
      <c r="U51">
        <f>"&lt;aside&gt;🅰1️⃣"&amp;$H$50&amp;"&lt;br&gt;&lt;br&gt;&lt;strong&gt;🅰2️⃣"&amp;$H$51&amp;"&lt;/strong&gt;&lt;br&gt;&lt;br&gt;🅱1️⃣___________&lt;br&gt;&lt;br&gt;🅱2️⃣___________&lt;/mark&gt;"</f>
        <v/>
      </c>
      <c r="V51" t="inlineStr"/>
      <c r="W51" t="inlineStr"/>
      <c r="X51" t="inlineStr"/>
      <c r="Y51">
        <f>INPUT!$B$7</f>
        <v/>
      </c>
      <c r="Z51">
        <f>INPUT!$B$8</f>
        <v/>
      </c>
      <c r="AA51">
        <f>IFERROR(VLOOKUP($P$51,INPUT!$A$48:$I$156,5,FALSE),"")</f>
        <v/>
      </c>
      <c r="AB51">
        <f>IFERROR(VLOOKUP($AA$51,INPUT!$A$18:$D$24,2,FALSE),"")</f>
        <v/>
      </c>
      <c r="AC51">
        <f>INPUT!$B$9</f>
        <v/>
      </c>
      <c r="AD51" t="inlineStr"/>
      <c r="AE51" t="inlineStr"/>
      <c r="AF51">
        <f>IFERROR(VLOOKUP($AA$51,INPUT!$A$18:$D$24,3,FALSE),"")</f>
        <v/>
      </c>
      <c r="AG51">
        <f>INPUT!$B$10</f>
        <v/>
      </c>
      <c r="AH51">
        <f>IFERROR(VLOOKUP($AA$51,INPUT!$A$18:$D$24,4,FALSE),"")</f>
        <v/>
      </c>
      <c r="AI51">
        <f>INPUT!$B$11</f>
        <v/>
      </c>
      <c r="AJ51">
        <f>INPUT!$B$12</f>
        <v/>
      </c>
      <c r="AK51">
        <f>INPUT!$B$13</f>
        <v/>
      </c>
      <c r="AL51">
        <f>INPUT!$B$14</f>
        <v/>
      </c>
      <c r="AM51">
        <f>INPUT!$B$15</f>
        <v/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>
        <f>IFERROR(VLOOKUP($P$51,INPUT!$A$48:$I$156,7,FALSE),"")</f>
        <v/>
      </c>
      <c r="BE51">
        <f>IFERROR(VLOOKUP($P$51,INPUT!$A$48:$I$156,8,FALSE),"")</f>
        <v/>
      </c>
      <c r="BF51">
        <f>IFERROR(VLOOKUP($P$51,INPUT!$A$48:$I$156,9,FALSE),"")</f>
        <v/>
      </c>
      <c r="BG51">
        <f>IF(TRIM($Q$51)&lt;&gt;"",TRIM($Q$51),TRIM($R$51))</f>
        <v/>
      </c>
    </row>
    <row r="52">
      <c r="A52">
        <f>INPUT!$B$5</f>
        <v/>
      </c>
      <c r="B52" t="inlineStr">
        <is>
          <t>03</t>
        </is>
      </c>
      <c r="C52" t="inlineStr"/>
      <c r="D52" t="inlineStr"/>
      <c r="E52" t="inlineStr"/>
      <c r="F52" t="inlineStr"/>
      <c r="G52">
        <f>INPUT!$B$6</f>
        <v/>
      </c>
      <c r="H52">
        <f>IFERROR(VLOOKUP($P$52,INPUT!$A$48:$I$156,6,FALSE),"")</f>
        <v/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wouldyourather_d01_i03</t>
        </is>
      </c>
      <c r="Q52">
        <f>IFERROR(VLOOKUP($P$52,INPUT!$A$48:$I$156,4,FALSE),"")</f>
        <v/>
      </c>
      <c r="R52">
        <f>IFERROR(VLOOKUP($P$52,INPUT!$A$48:$I$156,3,FALSE),"")</f>
        <v/>
      </c>
      <c r="S52" t="inlineStr"/>
      <c r="T52" t="inlineStr"/>
      <c r="U52">
        <f>"&lt;aside&gt;🅰1️⃣"&amp;$H$50&amp;"&lt;br&gt;&lt;br&gt;🅰2️⃣"&amp;$H$51&amp;"&lt;br&gt;&lt;br&gt;&lt;strong&gt;🅱1️⃣"&amp;$H$52&amp;"&lt;/strong&gt;&lt;br&gt;&lt;br&gt;🅱2️⃣___________&lt;/mark&gt;"</f>
        <v/>
      </c>
      <c r="V52" t="inlineStr"/>
      <c r="W52" t="inlineStr"/>
      <c r="X52" t="inlineStr"/>
      <c r="Y52">
        <f>INPUT!$B$7</f>
        <v/>
      </c>
      <c r="Z52">
        <f>INPUT!$B$8</f>
        <v/>
      </c>
      <c r="AA52">
        <f>IFERROR(VLOOKUP($P$52,INPUT!$A$48:$I$156,5,FALSE),"")</f>
        <v/>
      </c>
      <c r="AB52">
        <f>IFERROR(VLOOKUP($AA$52,INPUT!$A$18:$D$24,2,FALSE),"")</f>
        <v/>
      </c>
      <c r="AC52">
        <f>INPUT!$B$9</f>
        <v/>
      </c>
      <c r="AD52" t="inlineStr"/>
      <c r="AE52" t="inlineStr"/>
      <c r="AF52">
        <f>IFERROR(VLOOKUP($AA$52,INPUT!$A$18:$D$24,3,FALSE),"")</f>
        <v/>
      </c>
      <c r="AG52">
        <f>INPUT!$B$10</f>
        <v/>
      </c>
      <c r="AH52">
        <f>IFERROR(VLOOKUP($AA$52,INPUT!$A$18:$D$24,4,FALSE),"")</f>
        <v/>
      </c>
      <c r="AI52">
        <f>INPUT!$B$11</f>
        <v/>
      </c>
      <c r="AJ52">
        <f>INPUT!$B$12</f>
        <v/>
      </c>
      <c r="AK52">
        <f>INPUT!$B$13</f>
        <v/>
      </c>
      <c r="AL52">
        <f>INPUT!$B$14</f>
        <v/>
      </c>
      <c r="AM52">
        <f>INPUT!$B$15</f>
        <v/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>
        <f>IFERROR(VLOOKUP($P$52,INPUT!$A$48:$I$156,7,FALSE),"")</f>
        <v/>
      </c>
      <c r="BE52">
        <f>IFERROR(VLOOKUP($P$52,INPUT!$A$48:$I$156,8,FALSE),"")</f>
        <v/>
      </c>
      <c r="BF52">
        <f>IFERROR(VLOOKUP($P$52,INPUT!$A$48:$I$156,9,FALSE),"")</f>
        <v/>
      </c>
      <c r="BG52">
        <f>IF(TRIM($Q$52)&lt;&gt;"",TRIM($Q$52),TRIM($R$52))</f>
        <v/>
      </c>
    </row>
    <row r="53">
      <c r="A53">
        <f>INPUT!$B$5</f>
        <v/>
      </c>
      <c r="B53" t="inlineStr">
        <is>
          <t>04</t>
        </is>
      </c>
      <c r="C53" t="inlineStr"/>
      <c r="D53" t="inlineStr"/>
      <c r="E53" t="inlineStr"/>
      <c r="F53" t="inlineStr"/>
      <c r="G53">
        <f>INPUT!$B$6</f>
        <v/>
      </c>
      <c r="H53">
        <f>IFERROR(VLOOKUP($P$53,INPUT!$A$48:$I$156,6,FALSE),"")</f>
        <v/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wouldyourather_d01_i04</t>
        </is>
      </c>
      <c r="Q53">
        <f>IFERROR(VLOOKUP($P$53,INPUT!$A$48:$I$156,4,FALSE),"")</f>
        <v/>
      </c>
      <c r="R53">
        <f>IFERROR(VLOOKUP($P$53,INPUT!$A$48:$I$156,3,FALSE),"")</f>
        <v/>
      </c>
      <c r="S53" t="inlineStr"/>
      <c r="T53" t="inlineStr"/>
      <c r="U53">
        <f>"&lt;aside&gt;🅰1️⃣"&amp;$H$50&amp;"&lt;br&gt;&lt;br&gt;🅰2️⃣"&amp;$H$51&amp;"&lt;br&gt;&lt;br&gt;🅱1️⃣"&amp;$H$52&amp;"&lt;br&gt;&lt;br&gt;&lt;strong&gt;🅱2️⃣"&amp;$H$53&amp;"&lt;/mark&gt;"</f>
        <v/>
      </c>
      <c r="V53" t="inlineStr"/>
      <c r="W53" t="inlineStr"/>
      <c r="X53" t="inlineStr"/>
      <c r="Y53">
        <f>INPUT!$B$7</f>
        <v/>
      </c>
      <c r="Z53">
        <f>INPUT!$B$8</f>
        <v/>
      </c>
      <c r="AA53">
        <f>IFERROR(VLOOKUP($P$53,INPUT!$A$48:$I$156,5,FALSE),"")</f>
        <v/>
      </c>
      <c r="AB53">
        <f>IFERROR(VLOOKUP($AA$53,INPUT!$A$18:$D$24,2,FALSE),"")</f>
        <v/>
      </c>
      <c r="AC53">
        <f>INPUT!$B$9</f>
        <v/>
      </c>
      <c r="AD53" t="inlineStr"/>
      <c r="AE53" t="inlineStr"/>
      <c r="AF53">
        <f>IFERROR(VLOOKUP($AA$53,INPUT!$A$18:$D$24,3,FALSE),"")</f>
        <v/>
      </c>
      <c r="AG53">
        <f>INPUT!$B$10</f>
        <v/>
      </c>
      <c r="AH53">
        <f>IFERROR(VLOOKUP($AA$53,INPUT!$A$18:$D$24,4,FALSE),"")</f>
        <v/>
      </c>
      <c r="AI53">
        <f>INPUT!$B$11</f>
        <v/>
      </c>
      <c r="AJ53">
        <f>INPUT!$B$12</f>
        <v/>
      </c>
      <c r="AK53">
        <f>INPUT!$B$13</f>
        <v/>
      </c>
      <c r="AL53">
        <f>INPUT!$B$14</f>
        <v/>
      </c>
      <c r="AM53">
        <f>INPUT!$B$15</f>
        <v/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>
        <f>IFERROR(VLOOKUP($P$53,INPUT!$A$48:$I$156,7,FALSE),"")</f>
        <v/>
      </c>
      <c r="BE53">
        <f>IFERROR(VLOOKUP($P$53,INPUT!$A$48:$I$156,8,FALSE),"")</f>
        <v/>
      </c>
      <c r="BF53">
        <f>IFERROR(VLOOKUP($P$53,INPUT!$A$48:$I$156,9,FALSE),"")</f>
        <v/>
      </c>
      <c r="BG53">
        <f>IF(TRIM($Q$53)&lt;&gt;"",TRIM($Q$53),TRIM($R$53))</f>
        <v/>
      </c>
    </row>
    <row r="54">
      <c r="A54">
        <f>INPUT!$B$5</f>
        <v/>
      </c>
      <c r="B54" t="inlineStr">
        <is>
          <t>01</t>
        </is>
      </c>
      <c r="C54" t="inlineStr"/>
      <c r="D54" t="inlineStr"/>
      <c r="E54" t="inlineStr"/>
      <c r="F54" t="inlineStr"/>
      <c r="G54">
        <f>INPUT!$B$6</f>
        <v/>
      </c>
      <c r="H54">
        <f>IFERROR(VLOOKUP($P$54,INPUT!$A$48:$I$156,6,FALSE),"")</f>
        <v/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wouldyourather_d01_ii01</t>
        </is>
      </c>
      <c r="Q54">
        <f>IFERROR(VLOOKUP($P$54,INPUT!$A$48:$I$156,4,FALSE),"")</f>
        <v/>
      </c>
      <c r="R54">
        <f>IFERROR(VLOOKUP($P$54,INPUT!$A$48:$I$156,3,FALSE),"")</f>
        <v/>
      </c>
      <c r="S54" t="inlineStr"/>
      <c r="T54" t="inlineStr"/>
      <c r="U54">
        <f>"&lt;aside&gt;&lt;strong&gt;🅰1️⃣"&amp;$H$54&amp;"&lt;/strong&gt;&lt;br&gt;&lt;br&gt;🅰2️⃣___________&lt;br&gt;&lt;br&gt;🅱1️⃣___________&lt;br&gt;&lt;br&gt;🅱2️⃣___________&gt;&lt;/mark&gt;"</f>
        <v/>
      </c>
      <c r="V54" t="inlineStr"/>
      <c r="W54" t="inlineStr"/>
      <c r="X54" t="inlineStr"/>
      <c r="Y54">
        <f>INPUT!$B$7</f>
        <v/>
      </c>
      <c r="Z54">
        <f>INPUT!$B$8</f>
        <v/>
      </c>
      <c r="AA54">
        <f>IFERROR(VLOOKUP($P$54,INPUT!$A$48:$I$156,5,FALSE),"")</f>
        <v/>
      </c>
      <c r="AB54">
        <f>IFERROR(VLOOKUP($AA$54,INPUT!$A$18:$D$24,2,FALSE),"")</f>
        <v/>
      </c>
      <c r="AC54">
        <f>INPUT!$B$9</f>
        <v/>
      </c>
      <c r="AD54" t="inlineStr"/>
      <c r="AE54" t="inlineStr"/>
      <c r="AF54">
        <f>IFERROR(VLOOKUP($AA$54,INPUT!$A$18:$D$24,3,FALSE),"")</f>
        <v/>
      </c>
      <c r="AG54">
        <f>INPUT!$B$10</f>
        <v/>
      </c>
      <c r="AH54">
        <f>IFERROR(VLOOKUP($AA$54,INPUT!$A$18:$D$24,4,FALSE),"")</f>
        <v/>
      </c>
      <c r="AI54">
        <f>INPUT!$B$11</f>
        <v/>
      </c>
      <c r="AJ54">
        <f>INPUT!$B$12</f>
        <v/>
      </c>
      <c r="AK54">
        <f>INPUT!$B$13</f>
        <v/>
      </c>
      <c r="AL54">
        <f>INPUT!$B$14</f>
        <v/>
      </c>
      <c r="AM54">
        <f>INPUT!$B$15</f>
        <v/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>
        <f>IFERROR(VLOOKUP($P$54,INPUT!$A$48:$I$156,7,FALSE),"")</f>
        <v/>
      </c>
      <c r="BE54">
        <f>IFERROR(VLOOKUP($P$54,INPUT!$A$48:$I$156,8,FALSE),"")</f>
        <v/>
      </c>
      <c r="BF54">
        <f>IFERROR(VLOOKUP($P$54,INPUT!$A$48:$I$156,9,FALSE),"")</f>
        <v/>
      </c>
      <c r="BG54">
        <f>IF(TRIM($Q$54)&lt;&gt;"",TRIM($Q$54),TRIM($R$54))</f>
        <v/>
      </c>
    </row>
    <row r="55">
      <c r="A55">
        <f>INPUT!$B$5</f>
        <v/>
      </c>
      <c r="B55" t="inlineStr">
        <is>
          <t>02</t>
        </is>
      </c>
      <c r="C55" t="inlineStr"/>
      <c r="D55" t="inlineStr"/>
      <c r="E55" t="inlineStr"/>
      <c r="F55" t="inlineStr"/>
      <c r="G55">
        <f>INPUT!$B$6</f>
        <v/>
      </c>
      <c r="H55">
        <f>IFERROR(VLOOKUP($P$55,INPUT!$A$48:$I$156,6,FALSE),"")</f>
        <v/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wouldyourather_d01_ii02</t>
        </is>
      </c>
      <c r="Q55">
        <f>IFERROR(VLOOKUP($P$55,INPUT!$A$48:$I$156,4,FALSE),"")</f>
        <v/>
      </c>
      <c r="R55">
        <f>IFERROR(VLOOKUP($P$55,INPUT!$A$48:$I$156,3,FALSE),"")</f>
        <v/>
      </c>
      <c r="S55" t="inlineStr"/>
      <c r="T55" t="inlineStr"/>
      <c r="U55">
        <f>"&lt;aside&gt;🅰1️⃣"&amp;$H$54&amp;"&lt;br&gt;&lt;br&gt;&lt;strong&gt;🅰2️⃣"&amp;$H$55&amp;"&lt;/strong&gt;&lt;br&gt;&lt;br&gt;🅱1️⃣___________&lt;br&gt;&lt;br&gt;🅱2️⃣___________&lt;/mark&gt;"</f>
        <v/>
      </c>
      <c r="V55" t="inlineStr"/>
      <c r="W55" t="inlineStr"/>
      <c r="X55" t="inlineStr"/>
      <c r="Y55">
        <f>INPUT!$B$7</f>
        <v/>
      </c>
      <c r="Z55">
        <f>INPUT!$B$8</f>
        <v/>
      </c>
      <c r="AA55">
        <f>IFERROR(VLOOKUP($P$55,INPUT!$A$48:$I$156,5,FALSE),"")</f>
        <v/>
      </c>
      <c r="AB55">
        <f>IFERROR(VLOOKUP($AA$55,INPUT!$A$18:$D$24,2,FALSE),"")</f>
        <v/>
      </c>
      <c r="AC55">
        <f>INPUT!$B$9</f>
        <v/>
      </c>
      <c r="AD55" t="inlineStr"/>
      <c r="AE55" t="inlineStr"/>
      <c r="AF55">
        <f>IFERROR(VLOOKUP($AA$55,INPUT!$A$18:$D$24,3,FALSE),"")</f>
        <v/>
      </c>
      <c r="AG55">
        <f>INPUT!$B$10</f>
        <v/>
      </c>
      <c r="AH55">
        <f>IFERROR(VLOOKUP($AA$55,INPUT!$A$18:$D$24,4,FALSE),"")</f>
        <v/>
      </c>
      <c r="AI55">
        <f>INPUT!$B$11</f>
        <v/>
      </c>
      <c r="AJ55">
        <f>INPUT!$B$12</f>
        <v/>
      </c>
      <c r="AK55">
        <f>INPUT!$B$13</f>
        <v/>
      </c>
      <c r="AL55">
        <f>INPUT!$B$14</f>
        <v/>
      </c>
      <c r="AM55">
        <f>INPUT!$B$15</f>
        <v/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>
        <f>IFERROR(VLOOKUP($P$55,INPUT!$A$48:$I$156,7,FALSE),"")</f>
        <v/>
      </c>
      <c r="BE55">
        <f>IFERROR(VLOOKUP($P$55,INPUT!$A$48:$I$156,8,FALSE),"")</f>
        <v/>
      </c>
      <c r="BF55">
        <f>IFERROR(VLOOKUP($P$55,INPUT!$A$48:$I$156,9,FALSE),"")</f>
        <v/>
      </c>
      <c r="BG55">
        <f>IF(TRIM($Q$55)&lt;&gt;"",TRIM($Q$55),TRIM($R$55))</f>
        <v/>
      </c>
    </row>
    <row r="56">
      <c r="A56">
        <f>INPUT!$B$5</f>
        <v/>
      </c>
      <c r="B56" t="inlineStr">
        <is>
          <t>03</t>
        </is>
      </c>
      <c r="C56" t="inlineStr"/>
      <c r="D56" t="inlineStr"/>
      <c r="E56" t="inlineStr"/>
      <c r="F56" t="inlineStr"/>
      <c r="G56">
        <f>INPUT!$B$6</f>
        <v/>
      </c>
      <c r="H56">
        <f>IFERROR(VLOOKUP($P$56,INPUT!$A$48:$I$156,6,FALSE),"")</f>
        <v/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wouldyourather_d01_ii03</t>
        </is>
      </c>
      <c r="Q56">
        <f>IFERROR(VLOOKUP($P$56,INPUT!$A$48:$I$156,4,FALSE),"")</f>
        <v/>
      </c>
      <c r="R56">
        <f>IFERROR(VLOOKUP($P$56,INPUT!$A$48:$I$156,3,FALSE),"")</f>
        <v/>
      </c>
      <c r="S56" t="inlineStr"/>
      <c r="T56" t="inlineStr"/>
      <c r="U56">
        <f>"&lt;aside&gt;🅰1️⃣"&amp;$H$54&amp;"&lt;br&gt;&lt;br&gt;🅰2️⃣"&amp;$H$55&amp;"&lt;br&gt;&lt;br&gt;&lt;strong&gt;🅱1️⃣"&amp;$H$56&amp;"&lt;/strong&gt;&lt;br&gt;&lt;br&gt;🅱2️⃣___________&lt;/mark&gt;"</f>
        <v/>
      </c>
      <c r="V56" t="inlineStr"/>
      <c r="W56" t="inlineStr"/>
      <c r="X56" t="inlineStr"/>
      <c r="Y56">
        <f>INPUT!$B$7</f>
        <v/>
      </c>
      <c r="Z56">
        <f>INPUT!$B$8</f>
        <v/>
      </c>
      <c r="AA56">
        <f>IFERROR(VLOOKUP($P$56,INPUT!$A$48:$I$156,5,FALSE),"")</f>
        <v/>
      </c>
      <c r="AB56">
        <f>IFERROR(VLOOKUP($AA$56,INPUT!$A$18:$D$24,2,FALSE),"")</f>
        <v/>
      </c>
      <c r="AC56">
        <f>INPUT!$B$9</f>
        <v/>
      </c>
      <c r="AD56" t="inlineStr"/>
      <c r="AE56" t="inlineStr"/>
      <c r="AF56">
        <f>IFERROR(VLOOKUP($AA$56,INPUT!$A$18:$D$24,3,FALSE),"")</f>
        <v/>
      </c>
      <c r="AG56">
        <f>INPUT!$B$10</f>
        <v/>
      </c>
      <c r="AH56">
        <f>IFERROR(VLOOKUP($AA$56,INPUT!$A$18:$D$24,4,FALSE),"")</f>
        <v/>
      </c>
      <c r="AI56">
        <f>INPUT!$B$11</f>
        <v/>
      </c>
      <c r="AJ56">
        <f>INPUT!$B$12</f>
        <v/>
      </c>
      <c r="AK56">
        <f>INPUT!$B$13</f>
        <v/>
      </c>
      <c r="AL56">
        <f>INPUT!$B$14</f>
        <v/>
      </c>
      <c r="AM56">
        <f>INPUT!$B$15</f>
        <v/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>
        <f>IFERROR(VLOOKUP($P$56,INPUT!$A$48:$I$156,7,FALSE),"")</f>
        <v/>
      </c>
      <c r="BE56">
        <f>IFERROR(VLOOKUP($P$56,INPUT!$A$48:$I$156,8,FALSE),"")</f>
        <v/>
      </c>
      <c r="BF56">
        <f>IFERROR(VLOOKUP($P$56,INPUT!$A$48:$I$156,9,FALSE),"")</f>
        <v/>
      </c>
      <c r="BG56">
        <f>IF(TRIM($Q$56)&lt;&gt;"",TRIM($Q$56),TRIM($R$56))</f>
        <v/>
      </c>
    </row>
    <row r="57">
      <c r="A57">
        <f>INPUT!$B$5</f>
        <v/>
      </c>
      <c r="B57" t="inlineStr">
        <is>
          <t>04</t>
        </is>
      </c>
      <c r="C57" t="inlineStr"/>
      <c r="D57" t="inlineStr"/>
      <c r="E57" t="inlineStr"/>
      <c r="F57" t="inlineStr"/>
      <c r="G57">
        <f>INPUT!$B$6</f>
        <v/>
      </c>
      <c r="H57">
        <f>IFERROR(VLOOKUP($P$57,INPUT!$A$48:$I$156,6,FALSE),"")</f>
        <v/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wouldyourather_d01_ii04</t>
        </is>
      </c>
      <c r="Q57">
        <f>IFERROR(VLOOKUP($P$57,INPUT!$A$48:$I$156,4,FALSE),"")</f>
        <v/>
      </c>
      <c r="R57">
        <f>IFERROR(VLOOKUP($P$57,INPUT!$A$48:$I$156,3,FALSE),"")</f>
        <v/>
      </c>
      <c r="S57" t="inlineStr"/>
      <c r="T57" t="inlineStr"/>
      <c r="U57">
        <f>"&lt;aside&gt;🅰1️⃣"&amp;$H$54&amp;"&lt;br&gt;&lt;br&gt;🅰2️⃣"&amp;$H$55&amp;"&lt;br&gt;&lt;br&gt;🅱1️⃣"&amp;$H$56&amp;"&lt;br&gt;&lt;br&gt;&lt;strong&gt;🅱2️⃣"&amp;$H$57&amp;"&lt;/mark&gt;"</f>
        <v/>
      </c>
      <c r="V57" t="inlineStr"/>
      <c r="W57" t="inlineStr"/>
      <c r="X57" t="inlineStr"/>
      <c r="Y57">
        <f>INPUT!$B$7</f>
        <v/>
      </c>
      <c r="Z57">
        <f>INPUT!$B$8</f>
        <v/>
      </c>
      <c r="AA57">
        <f>IFERROR(VLOOKUP($P$57,INPUT!$A$48:$I$156,5,FALSE),"")</f>
        <v/>
      </c>
      <c r="AB57">
        <f>IFERROR(VLOOKUP($AA$57,INPUT!$A$18:$D$24,2,FALSE),"")</f>
        <v/>
      </c>
      <c r="AC57">
        <f>INPUT!$B$9</f>
        <v/>
      </c>
      <c r="AD57" t="inlineStr"/>
      <c r="AE57" t="inlineStr"/>
      <c r="AF57">
        <f>IFERROR(VLOOKUP($AA$57,INPUT!$A$18:$D$24,3,FALSE),"")</f>
        <v/>
      </c>
      <c r="AG57">
        <f>INPUT!$B$10</f>
        <v/>
      </c>
      <c r="AH57">
        <f>IFERROR(VLOOKUP($AA$57,INPUT!$A$18:$D$24,4,FALSE),"")</f>
        <v/>
      </c>
      <c r="AI57">
        <f>INPUT!$B$11</f>
        <v/>
      </c>
      <c r="AJ57">
        <f>INPUT!$B$12</f>
        <v/>
      </c>
      <c r="AK57">
        <f>INPUT!$B$13</f>
        <v/>
      </c>
      <c r="AL57">
        <f>INPUT!$B$14</f>
        <v/>
      </c>
      <c r="AM57">
        <f>INPUT!$B$15</f>
        <v/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>
        <f>IFERROR(VLOOKUP($P$57,INPUT!$A$48:$I$156,7,FALSE),"")</f>
        <v/>
      </c>
      <c r="BE57">
        <f>IFERROR(VLOOKUP($P$57,INPUT!$A$48:$I$156,8,FALSE),"")</f>
        <v/>
      </c>
      <c r="BF57">
        <f>IFERROR(VLOOKUP($P$57,INPUT!$A$48:$I$156,9,FALSE),"")</f>
        <v/>
      </c>
      <c r="BG57">
        <f>IF(TRIM($Q$57)&lt;&gt;"",TRIM($Q$57),TRIM($R$57))</f>
        <v/>
      </c>
    </row>
    <row r="58">
      <c r="A58">
        <f>INPUT!$B$5</f>
        <v/>
      </c>
      <c r="B58" t="inlineStr">
        <is>
          <t>01</t>
        </is>
      </c>
      <c r="C58" t="inlineStr"/>
      <c r="D58" t="inlineStr"/>
      <c r="E58" t="inlineStr"/>
      <c r="F58" t="inlineStr"/>
      <c r="G58">
        <f>INPUT!$B$6</f>
        <v/>
      </c>
      <c r="H58">
        <f>IFERROR(VLOOKUP($P$58,INPUT!$A$48:$I$156,6,FALSE),"")</f>
        <v/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wouldyourather_d02_i01</t>
        </is>
      </c>
      <c r="Q58">
        <f>IFERROR(VLOOKUP($P$58,INPUT!$A$48:$I$156,4,FALSE),"")</f>
        <v/>
      </c>
      <c r="R58">
        <f>IFERROR(VLOOKUP($P$58,INPUT!$A$48:$I$156,3,FALSE),"")</f>
        <v/>
      </c>
      <c r="S58" t="inlineStr"/>
      <c r="T58" t="inlineStr"/>
      <c r="U58">
        <f>"&lt;aside&gt;&lt;strong&gt;🅰1️⃣"&amp;$H$58&amp;"&lt;/strong&gt;&lt;br&gt;&lt;br&gt;🅰2️⃣___________&lt;br&gt;&lt;br&gt;🅱1️⃣___________&lt;br&gt;&lt;br&gt;🅱2️⃣___________&gt;&lt;/mark&gt;"</f>
        <v/>
      </c>
      <c r="V58" t="inlineStr"/>
      <c r="W58" t="inlineStr"/>
      <c r="X58" t="inlineStr"/>
      <c r="Y58">
        <f>INPUT!$B$7</f>
        <v/>
      </c>
      <c r="Z58">
        <f>INPUT!$B$8</f>
        <v/>
      </c>
      <c r="AA58">
        <f>IFERROR(VLOOKUP($P$58,INPUT!$A$48:$I$156,5,FALSE),"")</f>
        <v/>
      </c>
      <c r="AB58">
        <f>IFERROR(VLOOKUP($AA$58,INPUT!$A$18:$D$24,2,FALSE),"")</f>
        <v/>
      </c>
      <c r="AC58">
        <f>INPUT!$B$9</f>
        <v/>
      </c>
      <c r="AD58" t="inlineStr"/>
      <c r="AE58" t="inlineStr"/>
      <c r="AF58">
        <f>IFERROR(VLOOKUP($AA$58,INPUT!$A$18:$D$24,3,FALSE),"")</f>
        <v/>
      </c>
      <c r="AG58">
        <f>INPUT!$B$10</f>
        <v/>
      </c>
      <c r="AH58">
        <f>IFERROR(VLOOKUP($AA$58,INPUT!$A$18:$D$24,4,FALSE),"")</f>
        <v/>
      </c>
      <c r="AI58">
        <f>INPUT!$B$11</f>
        <v/>
      </c>
      <c r="AJ58">
        <f>INPUT!$B$12</f>
        <v/>
      </c>
      <c r="AK58">
        <f>INPUT!$B$13</f>
        <v/>
      </c>
      <c r="AL58">
        <f>INPUT!$B$14</f>
        <v/>
      </c>
      <c r="AM58">
        <f>INPUT!$B$15</f>
        <v/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>
        <f>IFERROR(VLOOKUP($P$58,INPUT!$A$48:$I$156,7,FALSE),"")</f>
        <v/>
      </c>
      <c r="BE58">
        <f>IFERROR(VLOOKUP($P$58,INPUT!$A$48:$I$156,8,FALSE),"")</f>
        <v/>
      </c>
      <c r="BF58">
        <f>IFERROR(VLOOKUP($P$58,INPUT!$A$48:$I$156,9,FALSE),"")</f>
        <v/>
      </c>
      <c r="BG58">
        <f>IF(TRIM($Q$58)&lt;&gt;"",TRIM($Q$58),TRIM($R$58))</f>
        <v/>
      </c>
    </row>
    <row r="59">
      <c r="A59">
        <f>INPUT!$B$5</f>
        <v/>
      </c>
      <c r="B59" t="inlineStr">
        <is>
          <t>02</t>
        </is>
      </c>
      <c r="C59" t="inlineStr"/>
      <c r="D59" t="inlineStr"/>
      <c r="E59" t="inlineStr"/>
      <c r="F59" t="inlineStr"/>
      <c r="G59">
        <f>INPUT!$B$6</f>
        <v/>
      </c>
      <c r="H59">
        <f>IFERROR(VLOOKUP($P$59,INPUT!$A$48:$I$156,6,FALSE),"")</f>
        <v/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wouldyourather_d02_i02</t>
        </is>
      </c>
      <c r="Q59">
        <f>IFERROR(VLOOKUP($P$59,INPUT!$A$48:$I$156,4,FALSE),"")</f>
        <v/>
      </c>
      <c r="R59">
        <f>IFERROR(VLOOKUP($P$59,INPUT!$A$48:$I$156,3,FALSE),"")</f>
        <v/>
      </c>
      <c r="S59" t="inlineStr"/>
      <c r="T59" t="inlineStr"/>
      <c r="U59">
        <f>"&lt;aside&gt;🅰1️⃣"&amp;$H$58&amp;"&lt;br&gt;&lt;br&gt;&lt;strong&gt;🅰2️⃣"&amp;$H$59&amp;"&lt;/strong&gt;&lt;br&gt;&lt;br&gt;🅱1️⃣___________&lt;br&gt;&lt;br&gt;🅱2️⃣___________&lt;/mark&gt;"</f>
        <v/>
      </c>
      <c r="V59" t="inlineStr"/>
      <c r="W59" t="inlineStr"/>
      <c r="X59" t="inlineStr"/>
      <c r="Y59">
        <f>INPUT!$B$7</f>
        <v/>
      </c>
      <c r="Z59">
        <f>INPUT!$B$8</f>
        <v/>
      </c>
      <c r="AA59">
        <f>IFERROR(VLOOKUP($P$59,INPUT!$A$48:$I$156,5,FALSE),"")</f>
        <v/>
      </c>
      <c r="AB59">
        <f>IFERROR(VLOOKUP($AA$59,INPUT!$A$18:$D$24,2,FALSE),"")</f>
        <v/>
      </c>
      <c r="AC59">
        <f>INPUT!$B$9</f>
        <v/>
      </c>
      <c r="AD59" t="inlineStr"/>
      <c r="AE59" t="inlineStr"/>
      <c r="AF59">
        <f>IFERROR(VLOOKUP($AA$59,INPUT!$A$18:$D$24,3,FALSE),"")</f>
        <v/>
      </c>
      <c r="AG59">
        <f>INPUT!$B$10</f>
        <v/>
      </c>
      <c r="AH59">
        <f>IFERROR(VLOOKUP($AA$59,INPUT!$A$18:$D$24,4,FALSE),"")</f>
        <v/>
      </c>
      <c r="AI59">
        <f>INPUT!$B$11</f>
        <v/>
      </c>
      <c r="AJ59">
        <f>INPUT!$B$12</f>
        <v/>
      </c>
      <c r="AK59">
        <f>INPUT!$B$13</f>
        <v/>
      </c>
      <c r="AL59">
        <f>INPUT!$B$14</f>
        <v/>
      </c>
      <c r="AM59">
        <f>INPUT!$B$15</f>
        <v/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>
        <f>IFERROR(VLOOKUP($P$59,INPUT!$A$48:$I$156,7,FALSE),"")</f>
        <v/>
      </c>
      <c r="BE59">
        <f>IFERROR(VLOOKUP($P$59,INPUT!$A$48:$I$156,8,FALSE),"")</f>
        <v/>
      </c>
      <c r="BF59">
        <f>IFERROR(VLOOKUP($P$59,INPUT!$A$48:$I$156,9,FALSE),"")</f>
        <v/>
      </c>
      <c r="BG59">
        <f>IF(TRIM($Q$59)&lt;&gt;"",TRIM($Q$59),TRIM($R$59))</f>
        <v/>
      </c>
    </row>
    <row r="60">
      <c r="A60">
        <f>INPUT!$B$5</f>
        <v/>
      </c>
      <c r="B60" t="inlineStr">
        <is>
          <t>03</t>
        </is>
      </c>
      <c r="C60" t="inlineStr"/>
      <c r="D60" t="inlineStr"/>
      <c r="E60" t="inlineStr"/>
      <c r="F60" t="inlineStr"/>
      <c r="G60">
        <f>INPUT!$B$6</f>
        <v/>
      </c>
      <c r="H60">
        <f>IFERROR(VLOOKUP($P$60,INPUT!$A$48:$I$156,6,FALSE),"")</f>
        <v/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wouldyourather_d02_i03</t>
        </is>
      </c>
      <c r="Q60">
        <f>IFERROR(VLOOKUP($P$60,INPUT!$A$48:$I$156,4,FALSE),"")</f>
        <v/>
      </c>
      <c r="R60">
        <f>IFERROR(VLOOKUP($P$60,INPUT!$A$48:$I$156,3,FALSE),"")</f>
        <v/>
      </c>
      <c r="S60" t="inlineStr"/>
      <c r="T60" t="inlineStr"/>
      <c r="U60">
        <f>"&lt;aside&gt;🅰1️⃣"&amp;$H$58&amp;"&lt;br&gt;&lt;br&gt;🅰2️⃣"&amp;$H$59&amp;"&lt;br&gt;&lt;br&gt;&lt;strong&gt;🅱1️⃣"&amp;$H$60&amp;"&lt;/strong&gt;&lt;br&gt;&lt;br&gt;🅱2️⃣___________&lt;/mark&gt;"</f>
        <v/>
      </c>
      <c r="V60" t="inlineStr"/>
      <c r="W60" t="inlineStr"/>
      <c r="X60" t="inlineStr"/>
      <c r="Y60">
        <f>INPUT!$B$7</f>
        <v/>
      </c>
      <c r="Z60">
        <f>INPUT!$B$8</f>
        <v/>
      </c>
      <c r="AA60">
        <f>IFERROR(VLOOKUP($P$60,INPUT!$A$48:$I$156,5,FALSE),"")</f>
        <v/>
      </c>
      <c r="AB60">
        <f>IFERROR(VLOOKUP($AA$60,INPUT!$A$18:$D$24,2,FALSE),"")</f>
        <v/>
      </c>
      <c r="AC60">
        <f>INPUT!$B$9</f>
        <v/>
      </c>
      <c r="AD60" t="inlineStr"/>
      <c r="AE60" t="inlineStr"/>
      <c r="AF60">
        <f>IFERROR(VLOOKUP($AA$60,INPUT!$A$18:$D$24,3,FALSE),"")</f>
        <v/>
      </c>
      <c r="AG60">
        <f>INPUT!$B$10</f>
        <v/>
      </c>
      <c r="AH60">
        <f>IFERROR(VLOOKUP($AA$60,INPUT!$A$18:$D$24,4,FALSE),"")</f>
        <v/>
      </c>
      <c r="AI60">
        <f>INPUT!$B$11</f>
        <v/>
      </c>
      <c r="AJ60">
        <f>INPUT!$B$12</f>
        <v/>
      </c>
      <c r="AK60">
        <f>INPUT!$B$13</f>
        <v/>
      </c>
      <c r="AL60">
        <f>INPUT!$B$14</f>
        <v/>
      </c>
      <c r="AM60">
        <f>INPUT!$B$15</f>
        <v/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>
        <f>IFERROR(VLOOKUP($P$60,INPUT!$A$48:$I$156,7,FALSE),"")</f>
        <v/>
      </c>
      <c r="BE60">
        <f>IFERROR(VLOOKUP($P$60,INPUT!$A$48:$I$156,8,FALSE),"")</f>
        <v/>
      </c>
      <c r="BF60">
        <f>IFERROR(VLOOKUP($P$60,INPUT!$A$48:$I$156,9,FALSE),"")</f>
        <v/>
      </c>
      <c r="BG60">
        <f>IF(TRIM($Q$60)&lt;&gt;"",TRIM($Q$60),TRIM($R$60))</f>
        <v/>
      </c>
    </row>
    <row r="61">
      <c r="A61">
        <f>INPUT!$B$5</f>
        <v/>
      </c>
      <c r="B61" t="inlineStr">
        <is>
          <t>04</t>
        </is>
      </c>
      <c r="C61" t="inlineStr"/>
      <c r="D61" t="inlineStr"/>
      <c r="E61" t="inlineStr"/>
      <c r="F61" t="inlineStr"/>
      <c r="G61">
        <f>INPUT!$B$6</f>
        <v/>
      </c>
      <c r="H61">
        <f>IFERROR(VLOOKUP($P$61,INPUT!$A$48:$I$156,6,FALSE),"")</f>
        <v/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wouldyourather_d02_i04</t>
        </is>
      </c>
      <c r="Q61">
        <f>IFERROR(VLOOKUP($P$61,INPUT!$A$48:$I$156,4,FALSE),"")</f>
        <v/>
      </c>
      <c r="R61">
        <f>IFERROR(VLOOKUP($P$61,INPUT!$A$48:$I$156,3,FALSE),"")</f>
        <v/>
      </c>
      <c r="S61" t="inlineStr"/>
      <c r="T61" t="inlineStr"/>
      <c r="U61">
        <f>"&lt;aside&gt;🅰1️⃣"&amp;$H$58&amp;"&lt;br&gt;&lt;br&gt;🅰2️⃣"&amp;$H$59&amp;"&lt;br&gt;&lt;br&gt;🅱1️⃣"&amp;$H$60&amp;"&lt;br&gt;&lt;br&gt;&lt;strong&gt;🅱2️⃣"&amp;$H$61&amp;"&lt;/mark&gt;"</f>
        <v/>
      </c>
      <c r="V61" t="inlineStr"/>
      <c r="W61" t="inlineStr"/>
      <c r="X61" t="inlineStr"/>
      <c r="Y61">
        <f>INPUT!$B$7</f>
        <v/>
      </c>
      <c r="Z61">
        <f>INPUT!$B$8</f>
        <v/>
      </c>
      <c r="AA61">
        <f>IFERROR(VLOOKUP($P$61,INPUT!$A$48:$I$156,5,FALSE),"")</f>
        <v/>
      </c>
      <c r="AB61">
        <f>IFERROR(VLOOKUP($AA$61,INPUT!$A$18:$D$24,2,FALSE),"")</f>
        <v/>
      </c>
      <c r="AC61">
        <f>INPUT!$B$9</f>
        <v/>
      </c>
      <c r="AD61" t="inlineStr"/>
      <c r="AE61" t="inlineStr"/>
      <c r="AF61">
        <f>IFERROR(VLOOKUP($AA$61,INPUT!$A$18:$D$24,3,FALSE),"")</f>
        <v/>
      </c>
      <c r="AG61">
        <f>INPUT!$B$10</f>
        <v/>
      </c>
      <c r="AH61">
        <f>IFERROR(VLOOKUP($AA$61,INPUT!$A$18:$D$24,4,FALSE),"")</f>
        <v/>
      </c>
      <c r="AI61">
        <f>INPUT!$B$11</f>
        <v/>
      </c>
      <c r="AJ61">
        <f>INPUT!$B$12</f>
        <v/>
      </c>
      <c r="AK61">
        <f>INPUT!$B$13</f>
        <v/>
      </c>
      <c r="AL61">
        <f>INPUT!$B$14</f>
        <v/>
      </c>
      <c r="AM61">
        <f>INPUT!$B$15</f>
        <v/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>
        <f>IFERROR(VLOOKUP($P$61,INPUT!$A$48:$I$156,7,FALSE),"")</f>
        <v/>
      </c>
      <c r="BE61">
        <f>IFERROR(VLOOKUP($P$61,INPUT!$A$48:$I$156,8,FALSE),"")</f>
        <v/>
      </c>
      <c r="BF61">
        <f>IFERROR(VLOOKUP($P$61,INPUT!$A$48:$I$156,9,FALSE),"")</f>
        <v/>
      </c>
      <c r="BG61">
        <f>IF(TRIM($Q$61)&lt;&gt;"",TRIM($Q$61),TRIM($R$61))</f>
        <v/>
      </c>
    </row>
    <row r="62">
      <c r="A62">
        <f>INPUT!$B$5</f>
        <v/>
      </c>
      <c r="B62" t="inlineStr">
        <is>
          <t>01</t>
        </is>
      </c>
      <c r="C62" t="inlineStr"/>
      <c r="D62" t="inlineStr"/>
      <c r="E62" t="inlineStr"/>
      <c r="F62" t="inlineStr"/>
      <c r="G62">
        <f>INPUT!$B$6</f>
        <v/>
      </c>
      <c r="H62">
        <f>IFERROR(VLOOKUP($P$62,INPUT!$A$48:$I$156,6,FALSE),"")</f>
        <v/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wouldyourather_d02_ii01</t>
        </is>
      </c>
      <c r="Q62">
        <f>IFERROR(VLOOKUP($P$62,INPUT!$A$48:$I$156,4,FALSE),"")</f>
        <v/>
      </c>
      <c r="R62">
        <f>IFERROR(VLOOKUP($P$62,INPUT!$A$48:$I$156,3,FALSE),"")</f>
        <v/>
      </c>
      <c r="S62" t="inlineStr"/>
      <c r="T62" t="inlineStr"/>
      <c r="U62">
        <f>"&lt;aside&gt;&lt;strong&gt;🅰1️⃣"&amp;$H$62&amp;"&lt;/strong&gt;&lt;br&gt;&lt;br&gt;🅰2️⃣___________&lt;br&gt;&lt;br&gt;🅱1️⃣___________&lt;br&gt;&lt;br&gt;🅱2️⃣___________&gt;&lt;/mark&gt;"</f>
        <v/>
      </c>
      <c r="V62" t="inlineStr"/>
      <c r="W62" t="inlineStr"/>
      <c r="X62" t="inlineStr"/>
      <c r="Y62">
        <f>INPUT!$B$7</f>
        <v/>
      </c>
      <c r="Z62">
        <f>INPUT!$B$8</f>
        <v/>
      </c>
      <c r="AA62">
        <f>IFERROR(VLOOKUP($P$62,INPUT!$A$48:$I$156,5,FALSE),"")</f>
        <v/>
      </c>
      <c r="AB62">
        <f>IFERROR(VLOOKUP($AA$62,INPUT!$A$18:$D$24,2,FALSE),"")</f>
        <v/>
      </c>
      <c r="AC62">
        <f>INPUT!$B$9</f>
        <v/>
      </c>
      <c r="AD62" t="inlineStr"/>
      <c r="AE62" t="inlineStr"/>
      <c r="AF62">
        <f>IFERROR(VLOOKUP($AA$62,INPUT!$A$18:$D$24,3,FALSE),"")</f>
        <v/>
      </c>
      <c r="AG62">
        <f>INPUT!$B$10</f>
        <v/>
      </c>
      <c r="AH62">
        <f>IFERROR(VLOOKUP($AA$62,INPUT!$A$18:$D$24,4,FALSE),"")</f>
        <v/>
      </c>
      <c r="AI62">
        <f>INPUT!$B$11</f>
        <v/>
      </c>
      <c r="AJ62">
        <f>INPUT!$B$12</f>
        <v/>
      </c>
      <c r="AK62">
        <f>INPUT!$B$13</f>
        <v/>
      </c>
      <c r="AL62">
        <f>INPUT!$B$14</f>
        <v/>
      </c>
      <c r="AM62">
        <f>INPUT!$B$15</f>
        <v/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>
        <f>IFERROR(VLOOKUP($P$62,INPUT!$A$48:$I$156,7,FALSE),"")</f>
        <v/>
      </c>
      <c r="BE62">
        <f>IFERROR(VLOOKUP($P$62,INPUT!$A$48:$I$156,8,FALSE),"")</f>
        <v/>
      </c>
      <c r="BF62">
        <f>IFERROR(VLOOKUP($P$62,INPUT!$A$48:$I$156,9,FALSE),"")</f>
        <v/>
      </c>
      <c r="BG62">
        <f>IF(TRIM($Q$62)&lt;&gt;"",TRIM($Q$62),TRIM($R$62))</f>
        <v/>
      </c>
    </row>
    <row r="63">
      <c r="A63">
        <f>INPUT!$B$5</f>
        <v/>
      </c>
      <c r="B63" t="inlineStr">
        <is>
          <t>02</t>
        </is>
      </c>
      <c r="C63" t="inlineStr"/>
      <c r="D63" t="inlineStr"/>
      <c r="E63" t="inlineStr"/>
      <c r="F63" t="inlineStr"/>
      <c r="G63">
        <f>INPUT!$B$6</f>
        <v/>
      </c>
      <c r="H63">
        <f>IFERROR(VLOOKUP($P$63,INPUT!$A$48:$I$156,6,FALSE),"")</f>
        <v/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wouldyourather_d02_ii02</t>
        </is>
      </c>
      <c r="Q63">
        <f>IFERROR(VLOOKUP($P$63,INPUT!$A$48:$I$156,4,FALSE),"")</f>
        <v/>
      </c>
      <c r="R63">
        <f>IFERROR(VLOOKUP($P$63,INPUT!$A$48:$I$156,3,FALSE),"")</f>
        <v/>
      </c>
      <c r="S63" t="inlineStr"/>
      <c r="T63" t="inlineStr"/>
      <c r="U63">
        <f>"&lt;aside&gt;🅰1️⃣"&amp;$H$62&amp;"&lt;br&gt;&lt;br&gt;&lt;strong&gt;🅰2️⃣"&amp;$H$63&amp;"&lt;/strong&gt;&lt;br&gt;&lt;br&gt;🅱1️⃣___________&lt;br&gt;&lt;br&gt;🅱2️⃣___________&lt;/mark&gt;"</f>
        <v/>
      </c>
      <c r="V63" t="inlineStr"/>
      <c r="W63" t="inlineStr"/>
      <c r="X63" t="inlineStr"/>
      <c r="Y63">
        <f>INPUT!$B$7</f>
        <v/>
      </c>
      <c r="Z63">
        <f>INPUT!$B$8</f>
        <v/>
      </c>
      <c r="AA63">
        <f>IFERROR(VLOOKUP($P$63,INPUT!$A$48:$I$156,5,FALSE),"")</f>
        <v/>
      </c>
      <c r="AB63">
        <f>IFERROR(VLOOKUP($AA$63,INPUT!$A$18:$D$24,2,FALSE),"")</f>
        <v/>
      </c>
      <c r="AC63">
        <f>INPUT!$B$9</f>
        <v/>
      </c>
      <c r="AD63" t="inlineStr"/>
      <c r="AE63" t="inlineStr"/>
      <c r="AF63">
        <f>IFERROR(VLOOKUP($AA$63,INPUT!$A$18:$D$24,3,FALSE),"")</f>
        <v/>
      </c>
      <c r="AG63">
        <f>INPUT!$B$10</f>
        <v/>
      </c>
      <c r="AH63">
        <f>IFERROR(VLOOKUP($AA$63,INPUT!$A$18:$D$24,4,FALSE),"")</f>
        <v/>
      </c>
      <c r="AI63">
        <f>INPUT!$B$11</f>
        <v/>
      </c>
      <c r="AJ63">
        <f>INPUT!$B$12</f>
        <v/>
      </c>
      <c r="AK63">
        <f>INPUT!$B$13</f>
        <v/>
      </c>
      <c r="AL63">
        <f>INPUT!$B$14</f>
        <v/>
      </c>
      <c r="AM63">
        <f>INPUT!$B$15</f>
        <v/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>
        <f>IFERROR(VLOOKUP($P$63,INPUT!$A$48:$I$156,7,FALSE),"")</f>
        <v/>
      </c>
      <c r="BE63">
        <f>IFERROR(VLOOKUP($P$63,INPUT!$A$48:$I$156,8,FALSE),"")</f>
        <v/>
      </c>
      <c r="BF63">
        <f>IFERROR(VLOOKUP($P$63,INPUT!$A$48:$I$156,9,FALSE),"")</f>
        <v/>
      </c>
      <c r="BG63">
        <f>IF(TRIM($Q$63)&lt;&gt;"",TRIM($Q$63),TRIM($R$63))</f>
        <v/>
      </c>
    </row>
    <row r="64">
      <c r="A64">
        <f>INPUT!$B$5</f>
        <v/>
      </c>
      <c r="B64" t="inlineStr">
        <is>
          <t>03</t>
        </is>
      </c>
      <c r="C64" t="inlineStr"/>
      <c r="D64" t="inlineStr"/>
      <c r="E64" t="inlineStr"/>
      <c r="F64" t="inlineStr"/>
      <c r="G64">
        <f>INPUT!$B$6</f>
        <v/>
      </c>
      <c r="H64">
        <f>IFERROR(VLOOKUP($P$64,INPUT!$A$48:$I$156,6,FALSE),"")</f>
        <v/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wouldyourather_d02_ii03</t>
        </is>
      </c>
      <c r="Q64">
        <f>IFERROR(VLOOKUP($P$64,INPUT!$A$48:$I$156,4,FALSE),"")</f>
        <v/>
      </c>
      <c r="R64">
        <f>IFERROR(VLOOKUP($P$64,INPUT!$A$48:$I$156,3,FALSE),"")</f>
        <v/>
      </c>
      <c r="S64" t="inlineStr"/>
      <c r="T64" t="inlineStr"/>
      <c r="U64">
        <f>"&lt;aside&gt;🅰1️⃣"&amp;$H$62&amp;"&lt;br&gt;&lt;br&gt;🅰2️⃣"&amp;$H$63&amp;"&lt;br&gt;&lt;br&gt;&lt;strong&gt;🅱1️⃣"&amp;$H$64&amp;"&lt;/strong&gt;&lt;br&gt;&lt;br&gt;🅱2️⃣___________&lt;/mark&gt;"</f>
        <v/>
      </c>
      <c r="V64" t="inlineStr"/>
      <c r="W64" t="inlineStr"/>
      <c r="X64" t="inlineStr"/>
      <c r="Y64">
        <f>INPUT!$B$7</f>
        <v/>
      </c>
      <c r="Z64">
        <f>INPUT!$B$8</f>
        <v/>
      </c>
      <c r="AA64">
        <f>IFERROR(VLOOKUP($P$64,INPUT!$A$48:$I$156,5,FALSE),"")</f>
        <v/>
      </c>
      <c r="AB64">
        <f>IFERROR(VLOOKUP($AA$64,INPUT!$A$18:$D$24,2,FALSE),"")</f>
        <v/>
      </c>
      <c r="AC64">
        <f>INPUT!$B$9</f>
        <v/>
      </c>
      <c r="AD64" t="inlineStr"/>
      <c r="AE64" t="inlineStr"/>
      <c r="AF64">
        <f>IFERROR(VLOOKUP($AA$64,INPUT!$A$18:$D$24,3,FALSE),"")</f>
        <v/>
      </c>
      <c r="AG64">
        <f>INPUT!$B$10</f>
        <v/>
      </c>
      <c r="AH64">
        <f>IFERROR(VLOOKUP($AA$64,INPUT!$A$18:$D$24,4,FALSE),"")</f>
        <v/>
      </c>
      <c r="AI64">
        <f>INPUT!$B$11</f>
        <v/>
      </c>
      <c r="AJ64">
        <f>INPUT!$B$12</f>
        <v/>
      </c>
      <c r="AK64">
        <f>INPUT!$B$13</f>
        <v/>
      </c>
      <c r="AL64">
        <f>INPUT!$B$14</f>
        <v/>
      </c>
      <c r="AM64">
        <f>INPUT!$B$15</f>
        <v/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>
        <f>IFERROR(VLOOKUP($P$64,INPUT!$A$48:$I$156,7,FALSE),"")</f>
        <v/>
      </c>
      <c r="BE64">
        <f>IFERROR(VLOOKUP($P$64,INPUT!$A$48:$I$156,8,FALSE),"")</f>
        <v/>
      </c>
      <c r="BF64">
        <f>IFERROR(VLOOKUP($P$64,INPUT!$A$48:$I$156,9,FALSE),"")</f>
        <v/>
      </c>
      <c r="BG64">
        <f>IF(TRIM($Q$64)&lt;&gt;"",TRIM($Q$64),TRIM($R$64))</f>
        <v/>
      </c>
    </row>
    <row r="65">
      <c r="A65">
        <f>INPUT!$B$5</f>
        <v/>
      </c>
      <c r="B65" t="inlineStr">
        <is>
          <t>04</t>
        </is>
      </c>
      <c r="C65" t="inlineStr"/>
      <c r="D65" t="inlineStr"/>
      <c r="E65" t="inlineStr"/>
      <c r="F65" t="inlineStr"/>
      <c r="G65">
        <f>INPUT!$B$6</f>
        <v/>
      </c>
      <c r="H65">
        <f>IFERROR(VLOOKUP($P$65,INPUT!$A$48:$I$156,6,FALSE),"")</f>
        <v/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wouldyourather_d02_ii04</t>
        </is>
      </c>
      <c r="Q65">
        <f>IFERROR(VLOOKUP($P$65,INPUT!$A$48:$I$156,4,FALSE),"")</f>
        <v/>
      </c>
      <c r="R65">
        <f>IFERROR(VLOOKUP($P$65,INPUT!$A$48:$I$156,3,FALSE),"")</f>
        <v/>
      </c>
      <c r="S65" t="inlineStr"/>
      <c r="T65" t="inlineStr"/>
      <c r="U65">
        <f>"&lt;aside&gt;🅰1️⃣"&amp;$H$62&amp;"&lt;br&gt;&lt;br&gt;🅰2️⃣"&amp;$H$63&amp;"&lt;br&gt;&lt;br&gt;🅱1️⃣"&amp;$H$64&amp;"&lt;br&gt;&lt;br&gt;&lt;strong&gt;🅱2️⃣"&amp;$H$65&amp;"&lt;/mark&gt;"</f>
        <v/>
      </c>
      <c r="V65" t="inlineStr"/>
      <c r="W65" t="inlineStr"/>
      <c r="X65" t="inlineStr"/>
      <c r="Y65">
        <f>INPUT!$B$7</f>
        <v/>
      </c>
      <c r="Z65">
        <f>INPUT!$B$8</f>
        <v/>
      </c>
      <c r="AA65">
        <f>IFERROR(VLOOKUP($P$65,INPUT!$A$48:$I$156,5,FALSE),"")</f>
        <v/>
      </c>
      <c r="AB65">
        <f>IFERROR(VLOOKUP($AA$65,INPUT!$A$18:$D$24,2,FALSE),"")</f>
        <v/>
      </c>
      <c r="AC65">
        <f>INPUT!$B$9</f>
        <v/>
      </c>
      <c r="AD65" t="inlineStr"/>
      <c r="AE65" t="inlineStr"/>
      <c r="AF65">
        <f>IFERROR(VLOOKUP($AA$65,INPUT!$A$18:$D$24,3,FALSE),"")</f>
        <v/>
      </c>
      <c r="AG65">
        <f>INPUT!$B$10</f>
        <v/>
      </c>
      <c r="AH65">
        <f>IFERROR(VLOOKUP($AA$65,INPUT!$A$18:$D$24,4,FALSE),"")</f>
        <v/>
      </c>
      <c r="AI65">
        <f>INPUT!$B$11</f>
        <v/>
      </c>
      <c r="AJ65">
        <f>INPUT!$B$12</f>
        <v/>
      </c>
      <c r="AK65">
        <f>INPUT!$B$13</f>
        <v/>
      </c>
      <c r="AL65">
        <f>INPUT!$B$14</f>
        <v/>
      </c>
      <c r="AM65">
        <f>INPUT!$B$15</f>
        <v/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>
        <f>IFERROR(VLOOKUP($P$65,INPUT!$A$48:$I$156,7,FALSE),"")</f>
        <v/>
      </c>
      <c r="BE65">
        <f>IFERROR(VLOOKUP($P$65,INPUT!$A$48:$I$156,8,FALSE),"")</f>
        <v/>
      </c>
      <c r="BF65">
        <f>IFERROR(VLOOKUP($P$65,INPUT!$A$48:$I$156,9,FALSE),"")</f>
        <v/>
      </c>
      <c r="BG65">
        <f>IF(TRIM($Q$65)&lt;&gt;"",TRIM($Q$65),TRIM($R$65))</f>
        <v/>
      </c>
    </row>
    <row r="66">
      <c r="A66">
        <f>INPUT!$B$5</f>
        <v/>
      </c>
      <c r="B66" t="inlineStr">
        <is>
          <t>01</t>
        </is>
      </c>
      <c r="C66" t="inlineStr"/>
      <c r="D66" t="inlineStr"/>
      <c r="E66" t="inlineStr"/>
      <c r="F66" t="inlineStr"/>
      <c r="G66">
        <f>INPUT!$B$6</f>
        <v/>
      </c>
      <c r="H66">
        <f>IFERROR(VLOOKUP($P$66,INPUT!$A$48:$I$156,6,FALSE),"")</f>
        <v/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wouldyourather_d03_i01</t>
        </is>
      </c>
      <c r="Q66">
        <f>IFERROR(VLOOKUP($P$66,INPUT!$A$48:$I$156,4,FALSE),"")</f>
        <v/>
      </c>
      <c r="R66">
        <f>IFERROR(VLOOKUP($P$66,INPUT!$A$48:$I$156,3,FALSE),"")</f>
        <v/>
      </c>
      <c r="S66" t="inlineStr"/>
      <c r="T66" t="inlineStr"/>
      <c r="U66">
        <f>"&lt;aside&gt;&lt;strong&gt;🅰1️⃣"&amp;$H$66&amp;"&lt;/strong&gt;&lt;br&gt;&lt;br&gt;🅰2️⃣___________&lt;br&gt;&lt;br&gt;🅱1️⃣___________&lt;br&gt;&lt;br&gt;🅱2️⃣___________&gt;&lt;/mark&gt;"</f>
        <v/>
      </c>
      <c r="V66" t="inlineStr"/>
      <c r="W66" t="inlineStr"/>
      <c r="X66" t="inlineStr"/>
      <c r="Y66">
        <f>INPUT!$B$7</f>
        <v/>
      </c>
      <c r="Z66">
        <f>INPUT!$B$8</f>
        <v/>
      </c>
      <c r="AA66">
        <f>IFERROR(VLOOKUP($P$66,INPUT!$A$48:$I$156,5,FALSE),"")</f>
        <v/>
      </c>
      <c r="AB66">
        <f>IFERROR(VLOOKUP($AA$66,INPUT!$A$18:$D$24,2,FALSE),"")</f>
        <v/>
      </c>
      <c r="AC66">
        <f>INPUT!$B$9</f>
        <v/>
      </c>
      <c r="AD66" t="inlineStr"/>
      <c r="AE66" t="inlineStr"/>
      <c r="AF66">
        <f>IFERROR(VLOOKUP($AA$66,INPUT!$A$18:$D$24,3,FALSE),"")</f>
        <v/>
      </c>
      <c r="AG66">
        <f>INPUT!$B$10</f>
        <v/>
      </c>
      <c r="AH66">
        <f>IFERROR(VLOOKUP($AA$66,INPUT!$A$18:$D$24,4,FALSE),"")</f>
        <v/>
      </c>
      <c r="AI66">
        <f>INPUT!$B$11</f>
        <v/>
      </c>
      <c r="AJ66">
        <f>INPUT!$B$12</f>
        <v/>
      </c>
      <c r="AK66">
        <f>INPUT!$B$13</f>
        <v/>
      </c>
      <c r="AL66">
        <f>INPUT!$B$14</f>
        <v/>
      </c>
      <c r="AM66">
        <f>INPUT!$B$15</f>
        <v/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>
        <f>IFERROR(VLOOKUP($P$66,INPUT!$A$48:$I$156,7,FALSE),"")</f>
        <v/>
      </c>
      <c r="BE66">
        <f>IFERROR(VLOOKUP($P$66,INPUT!$A$48:$I$156,8,FALSE),"")</f>
        <v/>
      </c>
      <c r="BF66">
        <f>IFERROR(VLOOKUP($P$66,INPUT!$A$48:$I$156,9,FALSE),"")</f>
        <v/>
      </c>
      <c r="BG66">
        <f>IF(TRIM($Q$66)&lt;&gt;"",TRIM($Q$66),TRIM($R$66))</f>
        <v/>
      </c>
    </row>
    <row r="67">
      <c r="A67">
        <f>INPUT!$B$5</f>
        <v/>
      </c>
      <c r="B67" t="inlineStr">
        <is>
          <t>02</t>
        </is>
      </c>
      <c r="C67" t="inlineStr"/>
      <c r="D67" t="inlineStr"/>
      <c r="E67" t="inlineStr"/>
      <c r="F67" t="inlineStr"/>
      <c r="G67">
        <f>INPUT!$B$6</f>
        <v/>
      </c>
      <c r="H67">
        <f>IFERROR(VLOOKUP($P$67,INPUT!$A$48:$I$156,6,FALSE),"")</f>
        <v/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wouldyourather_d03_i02</t>
        </is>
      </c>
      <c r="Q67">
        <f>IFERROR(VLOOKUP($P$67,INPUT!$A$48:$I$156,4,FALSE),"")</f>
        <v/>
      </c>
      <c r="R67">
        <f>IFERROR(VLOOKUP($P$67,INPUT!$A$48:$I$156,3,FALSE),"")</f>
        <v/>
      </c>
      <c r="S67" t="inlineStr"/>
      <c r="T67" t="inlineStr"/>
      <c r="U67">
        <f>"&lt;aside&gt;🅰1️⃣"&amp;$H$66&amp;"&lt;br&gt;&lt;br&gt;&lt;strong&gt;🅰2️⃣"&amp;$H$67&amp;"&lt;/strong&gt;&lt;br&gt;&lt;br&gt;🅱1️⃣___________&lt;br&gt;&lt;br&gt;🅱2️⃣___________&lt;/mark&gt;"</f>
        <v/>
      </c>
      <c r="V67" t="inlineStr"/>
      <c r="W67" t="inlineStr"/>
      <c r="X67" t="inlineStr"/>
      <c r="Y67">
        <f>INPUT!$B$7</f>
        <v/>
      </c>
      <c r="Z67">
        <f>INPUT!$B$8</f>
        <v/>
      </c>
      <c r="AA67">
        <f>IFERROR(VLOOKUP($P$67,INPUT!$A$48:$I$156,5,FALSE),"")</f>
        <v/>
      </c>
      <c r="AB67">
        <f>IFERROR(VLOOKUP($AA$67,INPUT!$A$18:$D$24,2,FALSE),"")</f>
        <v/>
      </c>
      <c r="AC67">
        <f>INPUT!$B$9</f>
        <v/>
      </c>
      <c r="AD67" t="inlineStr"/>
      <c r="AE67" t="inlineStr"/>
      <c r="AF67">
        <f>IFERROR(VLOOKUP($AA$67,INPUT!$A$18:$D$24,3,FALSE),"")</f>
        <v/>
      </c>
      <c r="AG67">
        <f>INPUT!$B$10</f>
        <v/>
      </c>
      <c r="AH67">
        <f>IFERROR(VLOOKUP($AA$67,INPUT!$A$18:$D$24,4,FALSE),"")</f>
        <v/>
      </c>
      <c r="AI67">
        <f>INPUT!$B$11</f>
        <v/>
      </c>
      <c r="AJ67">
        <f>INPUT!$B$12</f>
        <v/>
      </c>
      <c r="AK67">
        <f>INPUT!$B$13</f>
        <v/>
      </c>
      <c r="AL67">
        <f>INPUT!$B$14</f>
        <v/>
      </c>
      <c r="AM67">
        <f>INPUT!$B$15</f>
        <v/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>
        <f>IFERROR(VLOOKUP($P$67,INPUT!$A$48:$I$156,7,FALSE),"")</f>
        <v/>
      </c>
      <c r="BE67">
        <f>IFERROR(VLOOKUP($P$67,INPUT!$A$48:$I$156,8,FALSE),"")</f>
        <v/>
      </c>
      <c r="BF67">
        <f>IFERROR(VLOOKUP($P$67,INPUT!$A$48:$I$156,9,FALSE),"")</f>
        <v/>
      </c>
      <c r="BG67">
        <f>IF(TRIM($Q$67)&lt;&gt;"",TRIM($Q$67),TRIM($R$67))</f>
        <v/>
      </c>
    </row>
    <row r="68">
      <c r="A68">
        <f>INPUT!$B$5</f>
        <v/>
      </c>
      <c r="B68" t="inlineStr">
        <is>
          <t>03</t>
        </is>
      </c>
      <c r="C68" t="inlineStr"/>
      <c r="D68" t="inlineStr"/>
      <c r="E68" t="inlineStr"/>
      <c r="F68" t="inlineStr"/>
      <c r="G68">
        <f>INPUT!$B$6</f>
        <v/>
      </c>
      <c r="H68">
        <f>IFERROR(VLOOKUP($P$68,INPUT!$A$48:$I$156,6,FALSE),"")</f>
        <v/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wouldyourather_d03_i03</t>
        </is>
      </c>
      <c r="Q68">
        <f>IFERROR(VLOOKUP($P$68,INPUT!$A$48:$I$156,4,FALSE),"")</f>
        <v/>
      </c>
      <c r="R68">
        <f>IFERROR(VLOOKUP($P$68,INPUT!$A$48:$I$156,3,FALSE),"")</f>
        <v/>
      </c>
      <c r="S68" t="inlineStr"/>
      <c r="T68" t="inlineStr"/>
      <c r="U68">
        <f>"&lt;aside&gt;🅰1️⃣"&amp;$H$66&amp;"&lt;br&gt;&lt;br&gt;🅰2️⃣"&amp;$H$67&amp;"&lt;br&gt;&lt;br&gt;&lt;strong&gt;🅱1️⃣"&amp;$H$68&amp;"&lt;/strong&gt;&lt;br&gt;&lt;br&gt;🅱2️⃣___________&lt;/mark&gt;"</f>
        <v/>
      </c>
      <c r="V68" t="inlineStr"/>
      <c r="W68" t="inlineStr"/>
      <c r="X68" t="inlineStr"/>
      <c r="Y68">
        <f>INPUT!$B$7</f>
        <v/>
      </c>
      <c r="Z68">
        <f>INPUT!$B$8</f>
        <v/>
      </c>
      <c r="AA68">
        <f>IFERROR(VLOOKUP($P$68,INPUT!$A$48:$I$156,5,FALSE),"")</f>
        <v/>
      </c>
      <c r="AB68">
        <f>IFERROR(VLOOKUP($AA$68,INPUT!$A$18:$D$24,2,FALSE),"")</f>
        <v/>
      </c>
      <c r="AC68">
        <f>INPUT!$B$9</f>
        <v/>
      </c>
      <c r="AD68" t="inlineStr"/>
      <c r="AE68" t="inlineStr"/>
      <c r="AF68">
        <f>IFERROR(VLOOKUP($AA$68,INPUT!$A$18:$D$24,3,FALSE),"")</f>
        <v/>
      </c>
      <c r="AG68">
        <f>INPUT!$B$10</f>
        <v/>
      </c>
      <c r="AH68">
        <f>IFERROR(VLOOKUP($AA$68,INPUT!$A$18:$D$24,4,FALSE),"")</f>
        <v/>
      </c>
      <c r="AI68">
        <f>INPUT!$B$11</f>
        <v/>
      </c>
      <c r="AJ68">
        <f>INPUT!$B$12</f>
        <v/>
      </c>
      <c r="AK68">
        <f>INPUT!$B$13</f>
        <v/>
      </c>
      <c r="AL68">
        <f>INPUT!$B$14</f>
        <v/>
      </c>
      <c r="AM68">
        <f>INPUT!$B$15</f>
        <v/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>
        <f>IFERROR(VLOOKUP($P$68,INPUT!$A$48:$I$156,7,FALSE),"")</f>
        <v/>
      </c>
      <c r="BE68">
        <f>IFERROR(VLOOKUP($P$68,INPUT!$A$48:$I$156,8,FALSE),"")</f>
        <v/>
      </c>
      <c r="BF68">
        <f>IFERROR(VLOOKUP($P$68,INPUT!$A$48:$I$156,9,FALSE),"")</f>
        <v/>
      </c>
      <c r="BG68">
        <f>IF(TRIM($Q$68)&lt;&gt;"",TRIM($Q$68),TRIM($R$68))</f>
        <v/>
      </c>
    </row>
    <row r="69">
      <c r="A69">
        <f>INPUT!$B$5</f>
        <v/>
      </c>
      <c r="B69" t="inlineStr">
        <is>
          <t>04</t>
        </is>
      </c>
      <c r="C69" t="inlineStr"/>
      <c r="D69" t="inlineStr"/>
      <c r="E69" t="inlineStr"/>
      <c r="F69" t="inlineStr"/>
      <c r="G69">
        <f>INPUT!$B$6</f>
        <v/>
      </c>
      <c r="H69">
        <f>IFERROR(VLOOKUP($P$69,INPUT!$A$48:$I$156,6,FALSE),"")</f>
        <v/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wouldyourather_d03_i04</t>
        </is>
      </c>
      <c r="Q69">
        <f>IFERROR(VLOOKUP($P$69,INPUT!$A$48:$I$156,4,FALSE),"")</f>
        <v/>
      </c>
      <c r="R69">
        <f>IFERROR(VLOOKUP($P$69,INPUT!$A$48:$I$156,3,FALSE),"")</f>
        <v/>
      </c>
      <c r="S69" t="inlineStr"/>
      <c r="T69" t="inlineStr"/>
      <c r="U69">
        <f>"&lt;aside&gt;🅰1️⃣"&amp;$H$66&amp;"&lt;br&gt;&lt;br&gt;🅰2️⃣"&amp;$H$67&amp;"&lt;br&gt;&lt;br&gt;🅱1️⃣"&amp;$H$68&amp;"&lt;br&gt;&lt;br&gt;&lt;strong&gt;🅱2️⃣"&amp;$H$69&amp;"&lt;/mark&gt;"</f>
        <v/>
      </c>
      <c r="V69" t="inlineStr"/>
      <c r="W69" t="inlineStr"/>
      <c r="X69" t="inlineStr"/>
      <c r="Y69">
        <f>INPUT!$B$7</f>
        <v/>
      </c>
      <c r="Z69">
        <f>INPUT!$B$8</f>
        <v/>
      </c>
      <c r="AA69">
        <f>IFERROR(VLOOKUP($P$69,INPUT!$A$48:$I$156,5,FALSE),"")</f>
        <v/>
      </c>
      <c r="AB69">
        <f>IFERROR(VLOOKUP($AA$69,INPUT!$A$18:$D$24,2,FALSE),"")</f>
        <v/>
      </c>
      <c r="AC69">
        <f>INPUT!$B$9</f>
        <v/>
      </c>
      <c r="AD69" t="inlineStr"/>
      <c r="AE69" t="inlineStr"/>
      <c r="AF69">
        <f>IFERROR(VLOOKUP($AA$69,INPUT!$A$18:$D$24,3,FALSE),"")</f>
        <v/>
      </c>
      <c r="AG69">
        <f>INPUT!$B$10</f>
        <v/>
      </c>
      <c r="AH69">
        <f>IFERROR(VLOOKUP($AA$69,INPUT!$A$18:$D$24,4,FALSE),"")</f>
        <v/>
      </c>
      <c r="AI69">
        <f>INPUT!$B$11</f>
        <v/>
      </c>
      <c r="AJ69">
        <f>INPUT!$B$12</f>
        <v/>
      </c>
      <c r="AK69">
        <f>INPUT!$B$13</f>
        <v/>
      </c>
      <c r="AL69">
        <f>INPUT!$B$14</f>
        <v/>
      </c>
      <c r="AM69">
        <f>INPUT!$B$15</f>
        <v/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>
        <f>IFERROR(VLOOKUP($P$69,INPUT!$A$48:$I$156,7,FALSE),"")</f>
        <v/>
      </c>
      <c r="BE69">
        <f>IFERROR(VLOOKUP($P$69,INPUT!$A$48:$I$156,8,FALSE),"")</f>
        <v/>
      </c>
      <c r="BF69">
        <f>IFERROR(VLOOKUP($P$69,INPUT!$A$48:$I$156,9,FALSE),"")</f>
        <v/>
      </c>
      <c r="BG69">
        <f>IF(TRIM($Q$69)&lt;&gt;"",TRIM($Q$69),TRIM($R$69))</f>
        <v/>
      </c>
    </row>
    <row r="70">
      <c r="A70">
        <f>INPUT!$B$5</f>
        <v/>
      </c>
      <c r="B70" t="inlineStr">
        <is>
          <t>01</t>
        </is>
      </c>
      <c r="C70" t="inlineStr"/>
      <c r="D70" t="inlineStr"/>
      <c r="E70" t="inlineStr"/>
      <c r="F70" t="inlineStr"/>
      <c r="G70">
        <f>INPUT!$B$6</f>
        <v/>
      </c>
      <c r="H70">
        <f>IFERROR(VLOOKUP($P$70,INPUT!$A$48:$I$156,6,FALSE),"")</f>
        <v/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wouldyourather_d03_ii01</t>
        </is>
      </c>
      <c r="Q70">
        <f>IFERROR(VLOOKUP($P$70,INPUT!$A$48:$I$156,4,FALSE),"")</f>
        <v/>
      </c>
      <c r="R70">
        <f>IFERROR(VLOOKUP($P$70,INPUT!$A$48:$I$156,3,FALSE),"")</f>
        <v/>
      </c>
      <c r="S70" t="inlineStr"/>
      <c r="T70" t="inlineStr"/>
      <c r="U70">
        <f>"&lt;aside&gt;&lt;strong&gt;🅰1️⃣"&amp;$H$70&amp;"&lt;/strong&gt;&lt;br&gt;&lt;br&gt;🅰2️⃣___________&lt;br&gt;&lt;br&gt;🅱1️⃣___________&lt;br&gt;&lt;br&gt;🅱2️⃣___________&gt;&lt;/mark&gt;"</f>
        <v/>
      </c>
      <c r="V70" t="inlineStr"/>
      <c r="W70" t="inlineStr"/>
      <c r="X70" t="inlineStr"/>
      <c r="Y70">
        <f>INPUT!$B$7</f>
        <v/>
      </c>
      <c r="Z70">
        <f>INPUT!$B$8</f>
        <v/>
      </c>
      <c r="AA70">
        <f>IFERROR(VLOOKUP($P$70,INPUT!$A$48:$I$156,5,FALSE),"")</f>
        <v/>
      </c>
      <c r="AB70">
        <f>IFERROR(VLOOKUP($AA$70,INPUT!$A$18:$D$24,2,FALSE),"")</f>
        <v/>
      </c>
      <c r="AC70">
        <f>INPUT!$B$9</f>
        <v/>
      </c>
      <c r="AD70" t="inlineStr"/>
      <c r="AE70" t="inlineStr"/>
      <c r="AF70">
        <f>IFERROR(VLOOKUP($AA$70,INPUT!$A$18:$D$24,3,FALSE),"")</f>
        <v/>
      </c>
      <c r="AG70">
        <f>INPUT!$B$10</f>
        <v/>
      </c>
      <c r="AH70">
        <f>IFERROR(VLOOKUP($AA$70,INPUT!$A$18:$D$24,4,FALSE),"")</f>
        <v/>
      </c>
      <c r="AI70">
        <f>INPUT!$B$11</f>
        <v/>
      </c>
      <c r="AJ70">
        <f>INPUT!$B$12</f>
        <v/>
      </c>
      <c r="AK70">
        <f>INPUT!$B$13</f>
        <v/>
      </c>
      <c r="AL70">
        <f>INPUT!$B$14</f>
        <v/>
      </c>
      <c r="AM70">
        <f>INPUT!$B$15</f>
        <v/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>
        <f>IFERROR(VLOOKUP($P$70,INPUT!$A$48:$I$156,7,FALSE),"")</f>
        <v/>
      </c>
      <c r="BE70">
        <f>IFERROR(VLOOKUP($P$70,INPUT!$A$48:$I$156,8,FALSE),"")</f>
        <v/>
      </c>
      <c r="BF70">
        <f>IFERROR(VLOOKUP($P$70,INPUT!$A$48:$I$156,9,FALSE),"")</f>
        <v/>
      </c>
      <c r="BG70">
        <f>IF(TRIM($Q$70)&lt;&gt;"",TRIM($Q$70),TRIM($R$70))</f>
        <v/>
      </c>
    </row>
    <row r="71">
      <c r="A71">
        <f>INPUT!$B$5</f>
        <v/>
      </c>
      <c r="B71" t="inlineStr">
        <is>
          <t>02</t>
        </is>
      </c>
      <c r="C71" t="inlineStr"/>
      <c r="D71" t="inlineStr"/>
      <c r="E71" t="inlineStr"/>
      <c r="F71" t="inlineStr"/>
      <c r="G71">
        <f>INPUT!$B$6</f>
        <v/>
      </c>
      <c r="H71">
        <f>IFERROR(VLOOKUP($P$71,INPUT!$A$48:$I$156,6,FALSE),"")</f>
        <v/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wouldyourather_d03_ii02</t>
        </is>
      </c>
      <c r="Q71">
        <f>IFERROR(VLOOKUP($P$71,INPUT!$A$48:$I$156,4,FALSE),"")</f>
        <v/>
      </c>
      <c r="R71">
        <f>IFERROR(VLOOKUP($P$71,INPUT!$A$48:$I$156,3,FALSE),"")</f>
        <v/>
      </c>
      <c r="S71" t="inlineStr"/>
      <c r="T71" t="inlineStr"/>
      <c r="U71">
        <f>"&lt;aside&gt;🅰1️⃣"&amp;$H$70&amp;"&lt;br&gt;&lt;br&gt;&lt;strong&gt;🅰2️⃣"&amp;$H$71&amp;"&lt;/strong&gt;&lt;br&gt;&lt;br&gt;🅱1️⃣___________&lt;br&gt;&lt;br&gt;🅱2️⃣___________&lt;/mark&gt;"</f>
        <v/>
      </c>
      <c r="V71" t="inlineStr"/>
      <c r="W71" t="inlineStr"/>
      <c r="X71" t="inlineStr"/>
      <c r="Y71">
        <f>INPUT!$B$7</f>
        <v/>
      </c>
      <c r="Z71">
        <f>INPUT!$B$8</f>
        <v/>
      </c>
      <c r="AA71">
        <f>IFERROR(VLOOKUP($P$71,INPUT!$A$48:$I$156,5,FALSE),"")</f>
        <v/>
      </c>
      <c r="AB71">
        <f>IFERROR(VLOOKUP($AA$71,INPUT!$A$18:$D$24,2,FALSE),"")</f>
        <v/>
      </c>
      <c r="AC71">
        <f>INPUT!$B$9</f>
        <v/>
      </c>
      <c r="AD71" t="inlineStr"/>
      <c r="AE71" t="inlineStr"/>
      <c r="AF71">
        <f>IFERROR(VLOOKUP($AA$71,INPUT!$A$18:$D$24,3,FALSE),"")</f>
        <v/>
      </c>
      <c r="AG71">
        <f>INPUT!$B$10</f>
        <v/>
      </c>
      <c r="AH71">
        <f>IFERROR(VLOOKUP($AA$71,INPUT!$A$18:$D$24,4,FALSE),"")</f>
        <v/>
      </c>
      <c r="AI71">
        <f>INPUT!$B$11</f>
        <v/>
      </c>
      <c r="AJ71">
        <f>INPUT!$B$12</f>
        <v/>
      </c>
      <c r="AK71">
        <f>INPUT!$B$13</f>
        <v/>
      </c>
      <c r="AL71">
        <f>INPUT!$B$14</f>
        <v/>
      </c>
      <c r="AM71">
        <f>INPUT!$B$15</f>
        <v/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>
        <f>IFERROR(VLOOKUP($P$71,INPUT!$A$48:$I$156,7,FALSE),"")</f>
        <v/>
      </c>
      <c r="BE71">
        <f>IFERROR(VLOOKUP($P$71,INPUT!$A$48:$I$156,8,FALSE),"")</f>
        <v/>
      </c>
      <c r="BF71">
        <f>IFERROR(VLOOKUP($P$71,INPUT!$A$48:$I$156,9,FALSE),"")</f>
        <v/>
      </c>
      <c r="BG71">
        <f>IF(TRIM($Q$71)&lt;&gt;"",TRIM($Q$71),TRIM($R$71))</f>
        <v/>
      </c>
    </row>
    <row r="72">
      <c r="A72">
        <f>INPUT!$B$5</f>
        <v/>
      </c>
      <c r="B72" t="inlineStr">
        <is>
          <t>03</t>
        </is>
      </c>
      <c r="C72" t="inlineStr"/>
      <c r="D72" t="inlineStr"/>
      <c r="E72" t="inlineStr"/>
      <c r="F72" t="inlineStr"/>
      <c r="G72">
        <f>INPUT!$B$6</f>
        <v/>
      </c>
      <c r="H72">
        <f>IFERROR(VLOOKUP($P$72,INPUT!$A$48:$I$156,6,FALSE),"")</f>
        <v/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wouldyourather_d03_ii03</t>
        </is>
      </c>
      <c r="Q72">
        <f>IFERROR(VLOOKUP($P$72,INPUT!$A$48:$I$156,4,FALSE),"")</f>
        <v/>
      </c>
      <c r="R72">
        <f>IFERROR(VLOOKUP($P$72,INPUT!$A$48:$I$156,3,FALSE),"")</f>
        <v/>
      </c>
      <c r="S72" t="inlineStr"/>
      <c r="T72" t="inlineStr"/>
      <c r="U72">
        <f>"&lt;aside&gt;🅰1️⃣"&amp;$H$70&amp;"&lt;br&gt;&lt;br&gt;🅰2️⃣"&amp;$H$71&amp;"&lt;br&gt;&lt;br&gt;&lt;strong&gt;🅱1️⃣"&amp;$H$72&amp;"&lt;/strong&gt;&lt;br&gt;&lt;br&gt;🅱2️⃣___________&lt;/mark&gt;"</f>
        <v/>
      </c>
      <c r="V72" t="inlineStr"/>
      <c r="W72" t="inlineStr"/>
      <c r="X72" t="inlineStr"/>
      <c r="Y72">
        <f>INPUT!$B$7</f>
        <v/>
      </c>
      <c r="Z72">
        <f>INPUT!$B$8</f>
        <v/>
      </c>
      <c r="AA72">
        <f>IFERROR(VLOOKUP($P$72,INPUT!$A$48:$I$156,5,FALSE),"")</f>
        <v/>
      </c>
      <c r="AB72">
        <f>IFERROR(VLOOKUP($AA$72,INPUT!$A$18:$D$24,2,FALSE),"")</f>
        <v/>
      </c>
      <c r="AC72">
        <f>INPUT!$B$9</f>
        <v/>
      </c>
      <c r="AD72" t="inlineStr"/>
      <c r="AE72" t="inlineStr"/>
      <c r="AF72">
        <f>IFERROR(VLOOKUP($AA$72,INPUT!$A$18:$D$24,3,FALSE),"")</f>
        <v/>
      </c>
      <c r="AG72">
        <f>INPUT!$B$10</f>
        <v/>
      </c>
      <c r="AH72">
        <f>IFERROR(VLOOKUP($AA$72,INPUT!$A$18:$D$24,4,FALSE),"")</f>
        <v/>
      </c>
      <c r="AI72">
        <f>INPUT!$B$11</f>
        <v/>
      </c>
      <c r="AJ72">
        <f>INPUT!$B$12</f>
        <v/>
      </c>
      <c r="AK72">
        <f>INPUT!$B$13</f>
        <v/>
      </c>
      <c r="AL72">
        <f>INPUT!$B$14</f>
        <v/>
      </c>
      <c r="AM72">
        <f>INPUT!$B$15</f>
        <v/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>
        <f>IFERROR(VLOOKUP($P$72,INPUT!$A$48:$I$156,7,FALSE),"")</f>
        <v/>
      </c>
      <c r="BE72">
        <f>IFERROR(VLOOKUP($P$72,INPUT!$A$48:$I$156,8,FALSE),"")</f>
        <v/>
      </c>
      <c r="BF72">
        <f>IFERROR(VLOOKUP($P$72,INPUT!$A$48:$I$156,9,FALSE),"")</f>
        <v/>
      </c>
      <c r="BG72">
        <f>IF(TRIM($Q$72)&lt;&gt;"",TRIM($Q$72),TRIM($R$72))</f>
        <v/>
      </c>
    </row>
    <row r="73">
      <c r="A73">
        <f>INPUT!$B$5</f>
        <v/>
      </c>
      <c r="B73" t="inlineStr">
        <is>
          <t>04</t>
        </is>
      </c>
      <c r="C73" t="inlineStr"/>
      <c r="D73" t="inlineStr"/>
      <c r="E73" t="inlineStr"/>
      <c r="F73" t="inlineStr"/>
      <c r="G73">
        <f>INPUT!$B$6</f>
        <v/>
      </c>
      <c r="H73">
        <f>IFERROR(VLOOKUP($P$73,INPUT!$A$48:$I$156,6,FALSE),"")</f>
        <v/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wouldyourather_d03_ii04</t>
        </is>
      </c>
      <c r="Q73">
        <f>IFERROR(VLOOKUP($P$73,INPUT!$A$48:$I$156,4,FALSE),"")</f>
        <v/>
      </c>
      <c r="R73">
        <f>IFERROR(VLOOKUP($P$73,INPUT!$A$48:$I$156,3,FALSE),"")</f>
        <v/>
      </c>
      <c r="S73" t="inlineStr"/>
      <c r="T73" t="inlineStr"/>
      <c r="U73">
        <f>"&lt;aside&gt;🅰1️⃣"&amp;$H$70&amp;"&lt;br&gt;&lt;br&gt;🅰2️⃣"&amp;$H$71&amp;"&lt;br&gt;&lt;br&gt;🅱1️⃣"&amp;$H$72&amp;"&lt;br&gt;&lt;br&gt;&lt;strong&gt;🅱2️⃣"&amp;$H$73&amp;"&lt;/mark&gt;"</f>
        <v/>
      </c>
      <c r="V73" t="inlineStr"/>
      <c r="W73" t="inlineStr"/>
      <c r="X73" t="inlineStr"/>
      <c r="Y73">
        <f>INPUT!$B$7</f>
        <v/>
      </c>
      <c r="Z73">
        <f>INPUT!$B$8</f>
        <v/>
      </c>
      <c r="AA73">
        <f>IFERROR(VLOOKUP($P$73,INPUT!$A$48:$I$156,5,FALSE),"")</f>
        <v/>
      </c>
      <c r="AB73">
        <f>IFERROR(VLOOKUP($AA$73,INPUT!$A$18:$D$24,2,FALSE),"")</f>
        <v/>
      </c>
      <c r="AC73">
        <f>INPUT!$B$9</f>
        <v/>
      </c>
      <c r="AD73" t="inlineStr"/>
      <c r="AE73" t="inlineStr"/>
      <c r="AF73">
        <f>IFERROR(VLOOKUP($AA$73,INPUT!$A$18:$D$24,3,FALSE),"")</f>
        <v/>
      </c>
      <c r="AG73">
        <f>INPUT!$B$10</f>
        <v/>
      </c>
      <c r="AH73">
        <f>IFERROR(VLOOKUP($AA$73,INPUT!$A$18:$D$24,4,FALSE),"")</f>
        <v/>
      </c>
      <c r="AI73">
        <f>INPUT!$B$11</f>
        <v/>
      </c>
      <c r="AJ73">
        <f>INPUT!$B$12</f>
        <v/>
      </c>
      <c r="AK73">
        <f>INPUT!$B$13</f>
        <v/>
      </c>
      <c r="AL73">
        <f>INPUT!$B$14</f>
        <v/>
      </c>
      <c r="AM73">
        <f>INPUT!$B$15</f>
        <v/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>
        <f>IFERROR(VLOOKUP($P$73,INPUT!$A$48:$I$156,7,FALSE),"")</f>
        <v/>
      </c>
      <c r="BE73">
        <f>IFERROR(VLOOKUP($P$73,INPUT!$A$48:$I$156,8,FALSE),"")</f>
        <v/>
      </c>
      <c r="BF73">
        <f>IFERROR(VLOOKUP($P$73,INPUT!$A$48:$I$156,9,FALSE),"")</f>
        <v/>
      </c>
      <c r="BG73">
        <f>IF(TRIM($Q$73)&lt;&gt;"",TRIM($Q$73),TRIM($R$73))</f>
        <v/>
      </c>
    </row>
    <row r="74">
      <c r="A74">
        <f>INPUT!$B$5</f>
        <v/>
      </c>
      <c r="B74" t="inlineStr">
        <is>
          <t>01</t>
        </is>
      </c>
      <c r="C74" t="inlineStr"/>
      <c r="D74" t="inlineStr"/>
      <c r="E74" t="inlineStr"/>
      <c r="F74" t="inlineStr"/>
      <c r="G74">
        <f>INPUT!$B$6</f>
        <v/>
      </c>
      <c r="H74">
        <f>IFERROR(VLOOKUP($P$74,INPUT!$A$48:$I$156,6,FALSE),"")</f>
        <v/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wouldyourather_e0101</t>
        </is>
      </c>
      <c r="Q74">
        <f>IFERROR(VLOOKUP($P$74,INPUT!$A$48:$I$156,4,FALSE),"")</f>
        <v/>
      </c>
      <c r="R74">
        <f>IFERROR(VLOOKUP($P$74,INPUT!$A$48:$I$156,3,FALSE),"")</f>
        <v/>
      </c>
      <c r="S74" t="inlineStr"/>
      <c r="T74" t="inlineStr"/>
      <c r="U74">
        <f>"&lt;aside&gt;&lt;strong&gt;🅰1️⃣"&amp;$H$74&amp;"&lt;/strong&gt;&lt;br&gt;&lt;br&gt;🅰2️⃣___________&lt;br&gt;&lt;br&gt;🅱1️⃣___________&lt;br&gt;&lt;br&gt;🅱2️⃣___________&gt;&lt;/mark&gt;"</f>
        <v/>
      </c>
      <c r="V74" t="inlineStr"/>
      <c r="W74" t="inlineStr"/>
      <c r="X74" t="inlineStr"/>
      <c r="Y74">
        <f>INPUT!$B$7</f>
        <v/>
      </c>
      <c r="Z74">
        <f>INPUT!$B$8</f>
        <v/>
      </c>
      <c r="AA74">
        <f>IFERROR(VLOOKUP($P$74,INPUT!$A$48:$I$156,5,FALSE),"")</f>
        <v/>
      </c>
      <c r="AB74">
        <f>IFERROR(VLOOKUP($AA$74,INPUT!$A$18:$D$24,2,FALSE),"")</f>
        <v/>
      </c>
      <c r="AC74">
        <f>INPUT!$B$9</f>
        <v/>
      </c>
      <c r="AD74" t="inlineStr"/>
      <c r="AE74" t="inlineStr"/>
      <c r="AF74">
        <f>IFERROR(VLOOKUP($AA$74,INPUT!$A$18:$D$24,3,FALSE),"")</f>
        <v/>
      </c>
      <c r="AG74">
        <f>INPUT!$B$10</f>
        <v/>
      </c>
      <c r="AH74">
        <f>IFERROR(VLOOKUP($AA$74,INPUT!$A$18:$D$24,4,FALSE),"")</f>
        <v/>
      </c>
      <c r="AI74">
        <f>INPUT!$B$11</f>
        <v/>
      </c>
      <c r="AJ74">
        <f>INPUT!$B$12</f>
        <v/>
      </c>
      <c r="AK74">
        <f>INPUT!$B$13</f>
        <v/>
      </c>
      <c r="AL74">
        <f>INPUT!$B$14</f>
        <v/>
      </c>
      <c r="AM74">
        <f>INPUT!$B$15</f>
        <v/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>
        <f>IFERROR(VLOOKUP($P$74,INPUT!$A$48:$I$156,7,FALSE),"")</f>
        <v/>
      </c>
      <c r="BE74">
        <f>IFERROR(VLOOKUP($P$74,INPUT!$A$48:$I$156,8,FALSE),"")</f>
        <v/>
      </c>
      <c r="BF74">
        <f>IFERROR(VLOOKUP($P$74,INPUT!$A$48:$I$156,9,FALSE),"")</f>
        <v/>
      </c>
      <c r="BG74">
        <f>IF(TRIM($Q$74)&lt;&gt;"",TRIM($Q$74),TRIM($R$74))</f>
        <v/>
      </c>
    </row>
    <row r="75">
      <c r="A75">
        <f>INPUT!$B$5</f>
        <v/>
      </c>
      <c r="B75" t="inlineStr">
        <is>
          <t>02</t>
        </is>
      </c>
      <c r="C75" t="inlineStr"/>
      <c r="D75" t="inlineStr"/>
      <c r="E75" t="inlineStr"/>
      <c r="F75" t="inlineStr"/>
      <c r="G75">
        <f>INPUT!$B$6</f>
        <v/>
      </c>
      <c r="H75">
        <f>IFERROR(VLOOKUP($P$75,INPUT!$A$48:$I$156,6,FALSE),"")</f>
        <v/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wouldyourather_e0102</t>
        </is>
      </c>
      <c r="Q75">
        <f>IFERROR(VLOOKUP($P$75,INPUT!$A$48:$I$156,4,FALSE),"")</f>
        <v/>
      </c>
      <c r="R75">
        <f>IFERROR(VLOOKUP($P$75,INPUT!$A$48:$I$156,3,FALSE),"")</f>
        <v/>
      </c>
      <c r="S75" t="inlineStr"/>
      <c r="T75" t="inlineStr"/>
      <c r="U75">
        <f>"&lt;aside&gt;🅰1️⃣"&amp;$H$74&amp;"&lt;br&gt;&lt;br&gt;&lt;strong&gt;🅰2️⃣"&amp;$H$75&amp;"&lt;/strong&gt;&lt;br&gt;&lt;br&gt;🅱1️⃣___________&lt;br&gt;&lt;br&gt;🅱2️⃣___________&lt;/mark&gt;"</f>
        <v/>
      </c>
      <c r="V75" t="inlineStr"/>
      <c r="W75" t="inlineStr"/>
      <c r="X75" t="inlineStr"/>
      <c r="Y75">
        <f>INPUT!$B$7</f>
        <v/>
      </c>
      <c r="Z75">
        <f>INPUT!$B$8</f>
        <v/>
      </c>
      <c r="AA75">
        <f>IFERROR(VLOOKUP($P$75,INPUT!$A$48:$I$156,5,FALSE),"")</f>
        <v/>
      </c>
      <c r="AB75">
        <f>IFERROR(VLOOKUP($AA$75,INPUT!$A$18:$D$24,2,FALSE),"")</f>
        <v/>
      </c>
      <c r="AC75">
        <f>INPUT!$B$9</f>
        <v/>
      </c>
      <c r="AD75" t="inlineStr"/>
      <c r="AE75" t="inlineStr"/>
      <c r="AF75">
        <f>IFERROR(VLOOKUP($AA$75,INPUT!$A$18:$D$24,3,FALSE),"")</f>
        <v/>
      </c>
      <c r="AG75">
        <f>INPUT!$B$10</f>
        <v/>
      </c>
      <c r="AH75">
        <f>IFERROR(VLOOKUP($AA$75,INPUT!$A$18:$D$24,4,FALSE),"")</f>
        <v/>
      </c>
      <c r="AI75">
        <f>INPUT!$B$11</f>
        <v/>
      </c>
      <c r="AJ75">
        <f>INPUT!$B$12</f>
        <v/>
      </c>
      <c r="AK75">
        <f>INPUT!$B$13</f>
        <v/>
      </c>
      <c r="AL75">
        <f>INPUT!$B$14</f>
        <v/>
      </c>
      <c r="AM75">
        <f>INPUT!$B$15</f>
        <v/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>
        <f>IFERROR(VLOOKUP($P$75,INPUT!$A$48:$I$156,7,FALSE),"")</f>
        <v/>
      </c>
      <c r="BE75">
        <f>IFERROR(VLOOKUP($P$75,INPUT!$A$48:$I$156,8,FALSE),"")</f>
        <v/>
      </c>
      <c r="BF75">
        <f>IFERROR(VLOOKUP($P$75,INPUT!$A$48:$I$156,9,FALSE),"")</f>
        <v/>
      </c>
      <c r="BG75">
        <f>IF(TRIM($Q$75)&lt;&gt;"",TRIM($Q$75),TRIM($R$75))</f>
        <v/>
      </c>
    </row>
    <row r="76">
      <c r="A76">
        <f>INPUT!$B$5</f>
        <v/>
      </c>
      <c r="B76" t="inlineStr">
        <is>
          <t>03</t>
        </is>
      </c>
      <c r="C76" t="inlineStr"/>
      <c r="D76" t="inlineStr"/>
      <c r="E76" t="inlineStr"/>
      <c r="F76" t="inlineStr"/>
      <c r="G76">
        <f>INPUT!$B$6</f>
        <v/>
      </c>
      <c r="H76">
        <f>IFERROR(VLOOKUP($P$76,INPUT!$A$48:$I$156,6,FALSE),"")</f>
        <v/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wouldyourather_e0103</t>
        </is>
      </c>
      <c r="Q76">
        <f>IFERROR(VLOOKUP($P$76,INPUT!$A$48:$I$156,4,FALSE),"")</f>
        <v/>
      </c>
      <c r="R76">
        <f>IFERROR(VLOOKUP($P$76,INPUT!$A$48:$I$156,3,FALSE),"")</f>
        <v/>
      </c>
      <c r="S76" t="inlineStr"/>
      <c r="T76" t="inlineStr"/>
      <c r="U76">
        <f>"&lt;aside&gt;🅰1️⃣"&amp;$H$74&amp;"&lt;br&gt;&lt;br&gt;🅰2️⃣"&amp;$H$75&amp;"&lt;br&gt;&lt;br&gt;&lt;strong&gt;🅱1️⃣"&amp;$H$76&amp;"&lt;/strong&gt;&lt;br&gt;&lt;br&gt;🅱2️⃣___________&lt;/mark&gt;"</f>
        <v/>
      </c>
      <c r="V76" t="inlineStr"/>
      <c r="W76" t="inlineStr"/>
      <c r="X76" t="inlineStr"/>
      <c r="Y76">
        <f>INPUT!$B$7</f>
        <v/>
      </c>
      <c r="Z76">
        <f>INPUT!$B$8</f>
        <v/>
      </c>
      <c r="AA76">
        <f>IFERROR(VLOOKUP($P$76,INPUT!$A$48:$I$156,5,FALSE),"")</f>
        <v/>
      </c>
      <c r="AB76">
        <f>IFERROR(VLOOKUP($AA$76,INPUT!$A$18:$D$24,2,FALSE),"")</f>
        <v/>
      </c>
      <c r="AC76">
        <f>INPUT!$B$9</f>
        <v/>
      </c>
      <c r="AD76" t="inlineStr"/>
      <c r="AE76" t="inlineStr"/>
      <c r="AF76">
        <f>IFERROR(VLOOKUP($AA$76,INPUT!$A$18:$D$24,3,FALSE),"")</f>
        <v/>
      </c>
      <c r="AG76">
        <f>INPUT!$B$10</f>
        <v/>
      </c>
      <c r="AH76">
        <f>IFERROR(VLOOKUP($AA$76,INPUT!$A$18:$D$24,4,FALSE),"")</f>
        <v/>
      </c>
      <c r="AI76">
        <f>INPUT!$B$11</f>
        <v/>
      </c>
      <c r="AJ76">
        <f>INPUT!$B$12</f>
        <v/>
      </c>
      <c r="AK76">
        <f>INPUT!$B$13</f>
        <v/>
      </c>
      <c r="AL76">
        <f>INPUT!$B$14</f>
        <v/>
      </c>
      <c r="AM76">
        <f>INPUT!$B$15</f>
        <v/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>
        <f>IFERROR(VLOOKUP($P$76,INPUT!$A$48:$I$156,7,FALSE),"")</f>
        <v/>
      </c>
      <c r="BE76">
        <f>IFERROR(VLOOKUP($P$76,INPUT!$A$48:$I$156,8,FALSE),"")</f>
        <v/>
      </c>
      <c r="BF76">
        <f>IFERROR(VLOOKUP($P$76,INPUT!$A$48:$I$156,9,FALSE),"")</f>
        <v/>
      </c>
      <c r="BG76">
        <f>IF(TRIM($Q$76)&lt;&gt;"",TRIM($Q$76),TRIM($R$76))</f>
        <v/>
      </c>
    </row>
    <row r="77">
      <c r="A77">
        <f>INPUT!$B$5</f>
        <v/>
      </c>
      <c r="B77" t="inlineStr">
        <is>
          <t>04</t>
        </is>
      </c>
      <c r="C77" t="inlineStr"/>
      <c r="D77" t="inlineStr"/>
      <c r="E77" t="inlineStr"/>
      <c r="F77" t="inlineStr"/>
      <c r="G77">
        <f>INPUT!$B$6</f>
        <v/>
      </c>
      <c r="H77">
        <f>IFERROR(VLOOKUP($P$77,INPUT!$A$48:$I$156,6,FALSE),"")</f>
        <v/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wouldyourather_e0104</t>
        </is>
      </c>
      <c r="Q77">
        <f>IFERROR(VLOOKUP($P$77,INPUT!$A$48:$I$156,4,FALSE),"")</f>
        <v/>
      </c>
      <c r="R77">
        <f>IFERROR(VLOOKUP($P$77,INPUT!$A$48:$I$156,3,FALSE),"")</f>
        <v/>
      </c>
      <c r="S77" t="inlineStr"/>
      <c r="T77" t="inlineStr"/>
      <c r="U77">
        <f>"&lt;aside&gt;🅰1️⃣"&amp;$H$74&amp;"&lt;br&gt;&lt;br&gt;🅰2️⃣"&amp;$H$75&amp;"&lt;br&gt;&lt;br&gt;🅱1️⃣"&amp;$H$76&amp;"&lt;br&gt;&lt;br&gt;&lt;strong&gt;🅱2️⃣"&amp;$H$77&amp;"&lt;/mark&gt;"</f>
        <v/>
      </c>
      <c r="V77" t="inlineStr"/>
      <c r="W77" t="inlineStr"/>
      <c r="X77" t="inlineStr"/>
      <c r="Y77">
        <f>INPUT!$B$7</f>
        <v/>
      </c>
      <c r="Z77">
        <f>INPUT!$B$8</f>
        <v/>
      </c>
      <c r="AA77">
        <f>IFERROR(VLOOKUP($P$77,INPUT!$A$48:$I$156,5,FALSE),"")</f>
        <v/>
      </c>
      <c r="AB77">
        <f>IFERROR(VLOOKUP($AA$77,INPUT!$A$18:$D$24,2,FALSE),"")</f>
        <v/>
      </c>
      <c r="AC77">
        <f>INPUT!$B$9</f>
        <v/>
      </c>
      <c r="AD77" t="inlineStr"/>
      <c r="AE77" t="inlineStr"/>
      <c r="AF77">
        <f>IFERROR(VLOOKUP($AA$77,INPUT!$A$18:$D$24,3,FALSE),"")</f>
        <v/>
      </c>
      <c r="AG77">
        <f>INPUT!$B$10</f>
        <v/>
      </c>
      <c r="AH77">
        <f>IFERROR(VLOOKUP($AA$77,INPUT!$A$18:$D$24,4,FALSE),"")</f>
        <v/>
      </c>
      <c r="AI77">
        <f>INPUT!$B$11</f>
        <v/>
      </c>
      <c r="AJ77">
        <f>INPUT!$B$12</f>
        <v/>
      </c>
      <c r="AK77">
        <f>INPUT!$B$13</f>
        <v/>
      </c>
      <c r="AL77">
        <f>INPUT!$B$14</f>
        <v/>
      </c>
      <c r="AM77">
        <f>INPUT!$B$15</f>
        <v/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>
        <f>IFERROR(VLOOKUP($P$77,INPUT!$A$48:$I$156,7,FALSE),"")</f>
        <v/>
      </c>
      <c r="BE77">
        <f>IFERROR(VLOOKUP($P$77,INPUT!$A$48:$I$156,8,FALSE),"")</f>
        <v/>
      </c>
      <c r="BF77">
        <f>IFERROR(VLOOKUP($P$77,INPUT!$A$48:$I$156,9,FALSE),"")</f>
        <v/>
      </c>
      <c r="BG77">
        <f>IF(TRIM($Q$77)&lt;&gt;"",TRIM($Q$77),TRIM($R$77))</f>
        <v/>
      </c>
    </row>
    <row r="78">
      <c r="A78">
        <f>INPUT!$B$5</f>
        <v/>
      </c>
      <c r="B78" t="inlineStr">
        <is>
          <t>01</t>
        </is>
      </c>
      <c r="C78" t="inlineStr"/>
      <c r="D78" t="inlineStr"/>
      <c r="E78" t="inlineStr"/>
      <c r="F78" t="inlineStr"/>
      <c r="G78">
        <f>INPUT!$B$6</f>
        <v/>
      </c>
      <c r="H78">
        <f>IFERROR(VLOOKUP($P$78,INPUT!$A$48:$I$156,6,FALSE),"")</f>
        <v/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wouldyourather_e0201</t>
        </is>
      </c>
      <c r="Q78">
        <f>IFERROR(VLOOKUP($P$78,INPUT!$A$48:$I$156,4,FALSE),"")</f>
        <v/>
      </c>
      <c r="R78">
        <f>IFERROR(VLOOKUP($P$78,INPUT!$A$48:$I$156,3,FALSE),"")</f>
        <v/>
      </c>
      <c r="S78" t="inlineStr"/>
      <c r="T78" t="inlineStr"/>
      <c r="U78">
        <f>"&lt;aside&gt;&lt;strong&gt;🅰1️⃣"&amp;$H$78&amp;"&lt;/strong&gt;&lt;br&gt;&lt;br&gt;🅰2️⃣___________&lt;br&gt;&lt;br&gt;🅱1️⃣___________&lt;br&gt;&lt;br&gt;🅱2️⃣___________&gt;&lt;/mark&gt;"</f>
        <v/>
      </c>
      <c r="V78" t="inlineStr"/>
      <c r="W78" t="inlineStr"/>
      <c r="X78" t="inlineStr"/>
      <c r="Y78">
        <f>INPUT!$B$7</f>
        <v/>
      </c>
      <c r="Z78">
        <f>INPUT!$B$8</f>
        <v/>
      </c>
      <c r="AA78">
        <f>IFERROR(VLOOKUP($P$78,INPUT!$A$48:$I$156,5,FALSE),"")</f>
        <v/>
      </c>
      <c r="AB78">
        <f>IFERROR(VLOOKUP($AA$78,INPUT!$A$18:$D$24,2,FALSE),"")</f>
        <v/>
      </c>
      <c r="AC78">
        <f>INPUT!$B$9</f>
        <v/>
      </c>
      <c r="AD78" t="inlineStr"/>
      <c r="AE78" t="inlineStr"/>
      <c r="AF78">
        <f>IFERROR(VLOOKUP($AA$78,INPUT!$A$18:$D$24,3,FALSE),"")</f>
        <v/>
      </c>
      <c r="AG78">
        <f>INPUT!$B$10</f>
        <v/>
      </c>
      <c r="AH78">
        <f>IFERROR(VLOOKUP($AA$78,INPUT!$A$18:$D$24,4,FALSE),"")</f>
        <v/>
      </c>
      <c r="AI78">
        <f>INPUT!$B$11</f>
        <v/>
      </c>
      <c r="AJ78">
        <f>INPUT!$B$12</f>
        <v/>
      </c>
      <c r="AK78">
        <f>INPUT!$B$13</f>
        <v/>
      </c>
      <c r="AL78">
        <f>INPUT!$B$14</f>
        <v/>
      </c>
      <c r="AM78">
        <f>INPUT!$B$15</f>
        <v/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>
        <f>IFERROR(VLOOKUP($P$78,INPUT!$A$48:$I$156,7,FALSE),"")</f>
        <v/>
      </c>
      <c r="BE78">
        <f>IFERROR(VLOOKUP($P$78,INPUT!$A$48:$I$156,8,FALSE),"")</f>
        <v/>
      </c>
      <c r="BF78">
        <f>IFERROR(VLOOKUP($P$78,INPUT!$A$48:$I$156,9,FALSE),"")</f>
        <v/>
      </c>
      <c r="BG78">
        <f>IF(TRIM($Q$78)&lt;&gt;"",TRIM($Q$78),TRIM($R$78))</f>
        <v/>
      </c>
    </row>
    <row r="79">
      <c r="A79">
        <f>INPUT!$B$5</f>
        <v/>
      </c>
      <c r="B79" t="inlineStr">
        <is>
          <t>02</t>
        </is>
      </c>
      <c r="C79" t="inlineStr"/>
      <c r="D79" t="inlineStr"/>
      <c r="E79" t="inlineStr"/>
      <c r="F79" t="inlineStr"/>
      <c r="G79">
        <f>INPUT!$B$6</f>
        <v/>
      </c>
      <c r="H79">
        <f>IFERROR(VLOOKUP($P$79,INPUT!$A$48:$I$156,6,FALSE),"")</f>
        <v/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wouldyourather_e0202</t>
        </is>
      </c>
      <c r="Q79">
        <f>IFERROR(VLOOKUP($P$79,INPUT!$A$48:$I$156,4,FALSE),"")</f>
        <v/>
      </c>
      <c r="R79">
        <f>IFERROR(VLOOKUP($P$79,INPUT!$A$48:$I$156,3,FALSE),"")</f>
        <v/>
      </c>
      <c r="S79" t="inlineStr"/>
      <c r="T79" t="inlineStr"/>
      <c r="U79">
        <f>"&lt;aside&gt;🅰1️⃣"&amp;$H$78&amp;"&lt;br&gt;&lt;br&gt;&lt;strong&gt;🅰2️⃣"&amp;$H$79&amp;"&lt;/strong&gt;&lt;br&gt;&lt;br&gt;🅱1️⃣___________&lt;br&gt;&lt;br&gt;🅱2️⃣___________&lt;/mark&gt;"</f>
        <v/>
      </c>
      <c r="V79" t="inlineStr"/>
      <c r="W79" t="inlineStr"/>
      <c r="X79" t="inlineStr"/>
      <c r="Y79">
        <f>INPUT!$B$7</f>
        <v/>
      </c>
      <c r="Z79">
        <f>INPUT!$B$8</f>
        <v/>
      </c>
      <c r="AA79">
        <f>IFERROR(VLOOKUP($P$79,INPUT!$A$48:$I$156,5,FALSE),"")</f>
        <v/>
      </c>
      <c r="AB79">
        <f>IFERROR(VLOOKUP($AA$79,INPUT!$A$18:$D$24,2,FALSE),"")</f>
        <v/>
      </c>
      <c r="AC79">
        <f>INPUT!$B$9</f>
        <v/>
      </c>
      <c r="AD79" t="inlineStr"/>
      <c r="AE79" t="inlineStr"/>
      <c r="AF79">
        <f>IFERROR(VLOOKUP($AA$79,INPUT!$A$18:$D$24,3,FALSE),"")</f>
        <v/>
      </c>
      <c r="AG79">
        <f>INPUT!$B$10</f>
        <v/>
      </c>
      <c r="AH79">
        <f>IFERROR(VLOOKUP($AA$79,INPUT!$A$18:$D$24,4,FALSE),"")</f>
        <v/>
      </c>
      <c r="AI79">
        <f>INPUT!$B$11</f>
        <v/>
      </c>
      <c r="AJ79">
        <f>INPUT!$B$12</f>
        <v/>
      </c>
      <c r="AK79">
        <f>INPUT!$B$13</f>
        <v/>
      </c>
      <c r="AL79">
        <f>INPUT!$B$14</f>
        <v/>
      </c>
      <c r="AM79">
        <f>INPUT!$B$15</f>
        <v/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>
        <f>IFERROR(VLOOKUP($P$79,INPUT!$A$48:$I$156,7,FALSE),"")</f>
        <v/>
      </c>
      <c r="BE79">
        <f>IFERROR(VLOOKUP($P$79,INPUT!$A$48:$I$156,8,FALSE),"")</f>
        <v/>
      </c>
      <c r="BF79">
        <f>IFERROR(VLOOKUP($P$79,INPUT!$A$48:$I$156,9,FALSE),"")</f>
        <v/>
      </c>
      <c r="BG79">
        <f>IF(TRIM($Q$79)&lt;&gt;"",TRIM($Q$79),TRIM($R$79))</f>
        <v/>
      </c>
    </row>
    <row r="80">
      <c r="A80">
        <f>INPUT!$B$5</f>
        <v/>
      </c>
      <c r="B80" t="inlineStr">
        <is>
          <t>03</t>
        </is>
      </c>
      <c r="C80" t="inlineStr"/>
      <c r="D80" t="inlineStr"/>
      <c r="E80" t="inlineStr"/>
      <c r="F80" t="inlineStr"/>
      <c r="G80">
        <f>INPUT!$B$6</f>
        <v/>
      </c>
      <c r="H80">
        <f>IFERROR(VLOOKUP($P$80,INPUT!$A$48:$I$156,6,FALSE),"")</f>
        <v/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wouldyourather_e0203</t>
        </is>
      </c>
      <c r="Q80">
        <f>IFERROR(VLOOKUP($P$80,INPUT!$A$48:$I$156,4,FALSE),"")</f>
        <v/>
      </c>
      <c r="R80">
        <f>IFERROR(VLOOKUP($P$80,INPUT!$A$48:$I$156,3,FALSE),"")</f>
        <v/>
      </c>
      <c r="S80" t="inlineStr"/>
      <c r="T80" t="inlineStr"/>
      <c r="U80">
        <f>"&lt;aside&gt;🅰1️⃣"&amp;$H$78&amp;"&lt;br&gt;&lt;br&gt;🅰2️⃣"&amp;$H$79&amp;"&lt;br&gt;&lt;br&gt;&lt;strong&gt;🅱1️⃣"&amp;$H$80&amp;"&lt;/strong&gt;&lt;br&gt;&lt;br&gt;🅱2️⃣___________&lt;/mark&gt;"</f>
        <v/>
      </c>
      <c r="V80" t="inlineStr"/>
      <c r="W80" t="inlineStr"/>
      <c r="X80" t="inlineStr"/>
      <c r="Y80">
        <f>INPUT!$B$7</f>
        <v/>
      </c>
      <c r="Z80">
        <f>INPUT!$B$8</f>
        <v/>
      </c>
      <c r="AA80">
        <f>IFERROR(VLOOKUP($P$80,INPUT!$A$48:$I$156,5,FALSE),"")</f>
        <v/>
      </c>
      <c r="AB80">
        <f>IFERROR(VLOOKUP($AA$80,INPUT!$A$18:$D$24,2,FALSE),"")</f>
        <v/>
      </c>
      <c r="AC80">
        <f>INPUT!$B$9</f>
        <v/>
      </c>
      <c r="AD80" t="inlineStr"/>
      <c r="AE80" t="inlineStr"/>
      <c r="AF80">
        <f>IFERROR(VLOOKUP($AA$80,INPUT!$A$18:$D$24,3,FALSE),"")</f>
        <v/>
      </c>
      <c r="AG80">
        <f>INPUT!$B$10</f>
        <v/>
      </c>
      <c r="AH80">
        <f>IFERROR(VLOOKUP($AA$80,INPUT!$A$18:$D$24,4,FALSE),"")</f>
        <v/>
      </c>
      <c r="AI80">
        <f>INPUT!$B$11</f>
        <v/>
      </c>
      <c r="AJ80">
        <f>INPUT!$B$12</f>
        <v/>
      </c>
      <c r="AK80">
        <f>INPUT!$B$13</f>
        <v/>
      </c>
      <c r="AL80">
        <f>INPUT!$B$14</f>
        <v/>
      </c>
      <c r="AM80">
        <f>INPUT!$B$15</f>
        <v/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>
        <f>IFERROR(VLOOKUP($P$80,INPUT!$A$48:$I$156,7,FALSE),"")</f>
        <v/>
      </c>
      <c r="BE80">
        <f>IFERROR(VLOOKUP($P$80,INPUT!$A$48:$I$156,8,FALSE),"")</f>
        <v/>
      </c>
      <c r="BF80">
        <f>IFERROR(VLOOKUP($P$80,INPUT!$A$48:$I$156,9,FALSE),"")</f>
        <v/>
      </c>
      <c r="BG80">
        <f>IF(TRIM($Q$80)&lt;&gt;"",TRIM($Q$80),TRIM($R$80))</f>
        <v/>
      </c>
    </row>
    <row r="81">
      <c r="A81">
        <f>INPUT!$B$5</f>
        <v/>
      </c>
      <c r="B81" t="inlineStr">
        <is>
          <t>04</t>
        </is>
      </c>
      <c r="C81" t="inlineStr"/>
      <c r="D81" t="inlineStr"/>
      <c r="E81" t="inlineStr"/>
      <c r="F81" t="inlineStr"/>
      <c r="G81">
        <f>INPUT!$B$6</f>
        <v/>
      </c>
      <c r="H81">
        <f>IFERROR(VLOOKUP($P$81,INPUT!$A$48:$I$156,6,FALSE),"")</f>
        <v/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wouldyourather_e0204</t>
        </is>
      </c>
      <c r="Q81">
        <f>IFERROR(VLOOKUP($P$81,INPUT!$A$48:$I$156,4,FALSE),"")</f>
        <v/>
      </c>
      <c r="R81">
        <f>IFERROR(VLOOKUP($P$81,INPUT!$A$48:$I$156,3,FALSE),"")</f>
        <v/>
      </c>
      <c r="S81" t="inlineStr"/>
      <c r="T81" t="inlineStr"/>
      <c r="U81">
        <f>"&lt;aside&gt;🅰1️⃣"&amp;$H$78&amp;"&lt;br&gt;&lt;br&gt;🅰2️⃣"&amp;$H$79&amp;"&lt;br&gt;&lt;br&gt;🅱1️⃣"&amp;$H$80&amp;"&lt;br&gt;&lt;br&gt;&lt;strong&gt;🅱2️⃣"&amp;$H$81&amp;"&lt;/mark&gt;"</f>
        <v/>
      </c>
      <c r="V81" t="inlineStr"/>
      <c r="W81" t="inlineStr"/>
      <c r="X81" t="inlineStr"/>
      <c r="Y81">
        <f>INPUT!$B$7</f>
        <v/>
      </c>
      <c r="Z81">
        <f>INPUT!$B$8</f>
        <v/>
      </c>
      <c r="AA81">
        <f>IFERROR(VLOOKUP($P$81,INPUT!$A$48:$I$156,5,FALSE),"")</f>
        <v/>
      </c>
      <c r="AB81">
        <f>IFERROR(VLOOKUP($AA$81,INPUT!$A$18:$D$24,2,FALSE),"")</f>
        <v/>
      </c>
      <c r="AC81">
        <f>INPUT!$B$9</f>
        <v/>
      </c>
      <c r="AD81" t="inlineStr"/>
      <c r="AE81" t="inlineStr"/>
      <c r="AF81">
        <f>IFERROR(VLOOKUP($AA$81,INPUT!$A$18:$D$24,3,FALSE),"")</f>
        <v/>
      </c>
      <c r="AG81">
        <f>INPUT!$B$10</f>
        <v/>
      </c>
      <c r="AH81">
        <f>IFERROR(VLOOKUP($AA$81,INPUT!$A$18:$D$24,4,FALSE),"")</f>
        <v/>
      </c>
      <c r="AI81">
        <f>INPUT!$B$11</f>
        <v/>
      </c>
      <c r="AJ81">
        <f>INPUT!$B$12</f>
        <v/>
      </c>
      <c r="AK81">
        <f>INPUT!$B$13</f>
        <v/>
      </c>
      <c r="AL81">
        <f>INPUT!$B$14</f>
        <v/>
      </c>
      <c r="AM81">
        <f>INPUT!$B$15</f>
        <v/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>
        <f>IFERROR(VLOOKUP($P$81,INPUT!$A$48:$I$156,7,FALSE),"")</f>
        <v/>
      </c>
      <c r="BE81">
        <f>IFERROR(VLOOKUP($P$81,INPUT!$A$48:$I$156,8,FALSE),"")</f>
        <v/>
      </c>
      <c r="BF81">
        <f>IFERROR(VLOOKUP($P$81,INPUT!$A$48:$I$156,9,FALSE),"")</f>
        <v/>
      </c>
      <c r="BG81">
        <f>IF(TRIM($Q$81)&lt;&gt;"",TRIM($Q$81),TRIM($R$81))</f>
        <v/>
      </c>
    </row>
    <row r="82">
      <c r="A82">
        <f>INPUT!$B$5</f>
        <v/>
      </c>
      <c r="B82" t="inlineStr">
        <is>
          <t>01</t>
        </is>
      </c>
      <c r="C82" t="inlineStr"/>
      <c r="D82" t="inlineStr"/>
      <c r="E82" t="inlineStr"/>
      <c r="F82" t="inlineStr"/>
      <c r="G82">
        <f>INPUT!$B$6</f>
        <v/>
      </c>
      <c r="H82">
        <f>IFERROR(VLOOKUP($P$82,INPUT!$A$48:$I$156,6,FALSE),"")</f>
        <v/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wouldyourather_e0301</t>
        </is>
      </c>
      <c r="Q82">
        <f>IFERROR(VLOOKUP($P$82,INPUT!$A$48:$I$156,4,FALSE),"")</f>
        <v/>
      </c>
      <c r="R82">
        <f>IFERROR(VLOOKUP($P$82,INPUT!$A$48:$I$156,3,FALSE),"")</f>
        <v/>
      </c>
      <c r="S82" t="inlineStr"/>
      <c r="T82" t="inlineStr"/>
      <c r="U82">
        <f>"&lt;aside&gt;&lt;strong&gt;🅰1️⃣"&amp;$H$82&amp;"&lt;/strong&gt;&lt;br&gt;&lt;br&gt;🅰2️⃣___________&lt;br&gt;&lt;br&gt;🅱1️⃣___________&lt;br&gt;&lt;br&gt;🅱2️⃣___________&gt;&lt;/mark&gt;"</f>
        <v/>
      </c>
      <c r="V82" t="inlineStr"/>
      <c r="W82" t="inlineStr"/>
      <c r="X82" t="inlineStr"/>
      <c r="Y82">
        <f>INPUT!$B$7</f>
        <v/>
      </c>
      <c r="Z82">
        <f>INPUT!$B$8</f>
        <v/>
      </c>
      <c r="AA82">
        <f>IFERROR(VLOOKUP($P$82,INPUT!$A$48:$I$156,5,FALSE),"")</f>
        <v/>
      </c>
      <c r="AB82">
        <f>IFERROR(VLOOKUP($AA$82,INPUT!$A$18:$D$24,2,FALSE),"")</f>
        <v/>
      </c>
      <c r="AC82">
        <f>INPUT!$B$9</f>
        <v/>
      </c>
      <c r="AD82" t="inlineStr"/>
      <c r="AE82" t="inlineStr"/>
      <c r="AF82">
        <f>IFERROR(VLOOKUP($AA$82,INPUT!$A$18:$D$24,3,FALSE),"")</f>
        <v/>
      </c>
      <c r="AG82">
        <f>INPUT!$B$10</f>
        <v/>
      </c>
      <c r="AH82">
        <f>IFERROR(VLOOKUP($AA$82,INPUT!$A$18:$D$24,4,FALSE),"")</f>
        <v/>
      </c>
      <c r="AI82">
        <f>INPUT!$B$11</f>
        <v/>
      </c>
      <c r="AJ82">
        <f>INPUT!$B$12</f>
        <v/>
      </c>
      <c r="AK82">
        <f>INPUT!$B$13</f>
        <v/>
      </c>
      <c r="AL82">
        <f>INPUT!$B$14</f>
        <v/>
      </c>
      <c r="AM82">
        <f>INPUT!$B$15</f>
        <v/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>
        <f>IFERROR(VLOOKUP($P$82,INPUT!$A$48:$I$156,7,FALSE),"")</f>
        <v/>
      </c>
      <c r="BE82">
        <f>IFERROR(VLOOKUP($P$82,INPUT!$A$48:$I$156,8,FALSE),"")</f>
        <v/>
      </c>
      <c r="BF82">
        <f>IFERROR(VLOOKUP($P$82,INPUT!$A$48:$I$156,9,FALSE),"")</f>
        <v/>
      </c>
      <c r="BG82">
        <f>IF(TRIM($Q$82)&lt;&gt;"",TRIM($Q$82),TRIM($R$82))</f>
        <v/>
      </c>
    </row>
    <row r="83">
      <c r="A83">
        <f>INPUT!$B$5</f>
        <v/>
      </c>
      <c r="B83" t="inlineStr">
        <is>
          <t>02</t>
        </is>
      </c>
      <c r="C83" t="inlineStr"/>
      <c r="D83" t="inlineStr"/>
      <c r="E83" t="inlineStr"/>
      <c r="F83" t="inlineStr"/>
      <c r="G83">
        <f>INPUT!$B$6</f>
        <v/>
      </c>
      <c r="H83">
        <f>IFERROR(VLOOKUP($P$83,INPUT!$A$48:$I$156,6,FALSE),"")</f>
        <v/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wouldyourather_e0302</t>
        </is>
      </c>
      <c r="Q83">
        <f>IFERROR(VLOOKUP($P$83,INPUT!$A$48:$I$156,4,FALSE),"")</f>
        <v/>
      </c>
      <c r="R83">
        <f>IFERROR(VLOOKUP($P$83,INPUT!$A$48:$I$156,3,FALSE),"")</f>
        <v/>
      </c>
      <c r="S83" t="inlineStr"/>
      <c r="T83" t="inlineStr"/>
      <c r="U83">
        <f>"&lt;aside&gt;🅰1️⃣"&amp;$H$82&amp;"&lt;br&gt;&lt;br&gt;&lt;strong&gt;🅰2️⃣"&amp;$H$83&amp;"&lt;/strong&gt;&lt;br&gt;&lt;br&gt;🅱1️⃣___________&lt;br&gt;&lt;br&gt;🅱2️⃣___________&lt;/mark&gt;"</f>
        <v/>
      </c>
      <c r="V83" t="inlineStr"/>
      <c r="W83" t="inlineStr"/>
      <c r="X83" t="inlineStr"/>
      <c r="Y83">
        <f>INPUT!$B$7</f>
        <v/>
      </c>
      <c r="Z83">
        <f>INPUT!$B$8</f>
        <v/>
      </c>
      <c r="AA83">
        <f>IFERROR(VLOOKUP($P$83,INPUT!$A$48:$I$156,5,FALSE),"")</f>
        <v/>
      </c>
      <c r="AB83">
        <f>IFERROR(VLOOKUP($AA$83,INPUT!$A$18:$D$24,2,FALSE),"")</f>
        <v/>
      </c>
      <c r="AC83">
        <f>INPUT!$B$9</f>
        <v/>
      </c>
      <c r="AD83" t="inlineStr"/>
      <c r="AE83" t="inlineStr"/>
      <c r="AF83">
        <f>IFERROR(VLOOKUP($AA$83,INPUT!$A$18:$D$24,3,FALSE),"")</f>
        <v/>
      </c>
      <c r="AG83">
        <f>INPUT!$B$10</f>
        <v/>
      </c>
      <c r="AH83">
        <f>IFERROR(VLOOKUP($AA$83,INPUT!$A$18:$D$24,4,FALSE),"")</f>
        <v/>
      </c>
      <c r="AI83">
        <f>INPUT!$B$11</f>
        <v/>
      </c>
      <c r="AJ83">
        <f>INPUT!$B$12</f>
        <v/>
      </c>
      <c r="AK83">
        <f>INPUT!$B$13</f>
        <v/>
      </c>
      <c r="AL83">
        <f>INPUT!$B$14</f>
        <v/>
      </c>
      <c r="AM83">
        <f>INPUT!$B$15</f>
        <v/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>
        <f>IFERROR(VLOOKUP($P$83,INPUT!$A$48:$I$156,7,FALSE),"")</f>
        <v/>
      </c>
      <c r="BE83">
        <f>IFERROR(VLOOKUP($P$83,INPUT!$A$48:$I$156,8,FALSE),"")</f>
        <v/>
      </c>
      <c r="BF83">
        <f>IFERROR(VLOOKUP($P$83,INPUT!$A$48:$I$156,9,FALSE),"")</f>
        <v/>
      </c>
      <c r="BG83">
        <f>IF(TRIM($Q$83)&lt;&gt;"",TRIM($Q$83),TRIM($R$83))</f>
        <v/>
      </c>
    </row>
    <row r="84">
      <c r="A84">
        <f>INPUT!$B$5</f>
        <v/>
      </c>
      <c r="B84" t="inlineStr">
        <is>
          <t>03</t>
        </is>
      </c>
      <c r="C84" t="inlineStr"/>
      <c r="D84" t="inlineStr"/>
      <c r="E84" t="inlineStr"/>
      <c r="F84" t="inlineStr"/>
      <c r="G84">
        <f>INPUT!$B$6</f>
        <v/>
      </c>
      <c r="H84">
        <f>IFERROR(VLOOKUP($P$84,INPUT!$A$48:$I$156,6,FALSE),"")</f>
        <v/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wouldyourather_e0303</t>
        </is>
      </c>
      <c r="Q84">
        <f>IFERROR(VLOOKUP($P$84,INPUT!$A$48:$I$156,4,FALSE),"")</f>
        <v/>
      </c>
      <c r="R84">
        <f>IFERROR(VLOOKUP($P$84,INPUT!$A$48:$I$156,3,FALSE),"")</f>
        <v/>
      </c>
      <c r="S84" t="inlineStr"/>
      <c r="T84" t="inlineStr"/>
      <c r="U84">
        <f>"&lt;aside&gt;🅰1️⃣"&amp;$H$82&amp;"&lt;br&gt;&lt;br&gt;🅰2️⃣"&amp;$H$83&amp;"&lt;br&gt;&lt;br&gt;&lt;strong&gt;🅱1️⃣"&amp;$H$84&amp;"&lt;/strong&gt;&lt;br&gt;&lt;br&gt;🅱2️⃣___________&lt;/mark&gt;"</f>
        <v/>
      </c>
      <c r="V84" t="inlineStr"/>
      <c r="W84" t="inlineStr"/>
      <c r="X84" t="inlineStr"/>
      <c r="Y84">
        <f>INPUT!$B$7</f>
        <v/>
      </c>
      <c r="Z84">
        <f>INPUT!$B$8</f>
        <v/>
      </c>
      <c r="AA84">
        <f>IFERROR(VLOOKUP($P$84,INPUT!$A$48:$I$156,5,FALSE),"")</f>
        <v/>
      </c>
      <c r="AB84">
        <f>IFERROR(VLOOKUP($AA$84,INPUT!$A$18:$D$24,2,FALSE),"")</f>
        <v/>
      </c>
      <c r="AC84">
        <f>INPUT!$B$9</f>
        <v/>
      </c>
      <c r="AD84" t="inlineStr"/>
      <c r="AE84" t="inlineStr"/>
      <c r="AF84">
        <f>IFERROR(VLOOKUP($AA$84,INPUT!$A$18:$D$24,3,FALSE),"")</f>
        <v/>
      </c>
      <c r="AG84">
        <f>INPUT!$B$10</f>
        <v/>
      </c>
      <c r="AH84">
        <f>IFERROR(VLOOKUP($AA$84,INPUT!$A$18:$D$24,4,FALSE),"")</f>
        <v/>
      </c>
      <c r="AI84">
        <f>INPUT!$B$11</f>
        <v/>
      </c>
      <c r="AJ84">
        <f>INPUT!$B$12</f>
        <v/>
      </c>
      <c r="AK84">
        <f>INPUT!$B$13</f>
        <v/>
      </c>
      <c r="AL84">
        <f>INPUT!$B$14</f>
        <v/>
      </c>
      <c r="AM84">
        <f>INPUT!$B$15</f>
        <v/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>
        <f>IFERROR(VLOOKUP($P$84,INPUT!$A$48:$I$156,7,FALSE),"")</f>
        <v/>
      </c>
      <c r="BE84">
        <f>IFERROR(VLOOKUP($P$84,INPUT!$A$48:$I$156,8,FALSE),"")</f>
        <v/>
      </c>
      <c r="BF84">
        <f>IFERROR(VLOOKUP($P$84,INPUT!$A$48:$I$156,9,FALSE),"")</f>
        <v/>
      </c>
      <c r="BG84">
        <f>IF(TRIM($Q$84)&lt;&gt;"",TRIM($Q$84),TRIM($R$84))</f>
        <v/>
      </c>
    </row>
    <row r="85">
      <c r="A85">
        <f>INPUT!$B$5</f>
        <v/>
      </c>
      <c r="B85" t="inlineStr">
        <is>
          <t>04</t>
        </is>
      </c>
      <c r="C85" t="inlineStr"/>
      <c r="D85" t="inlineStr"/>
      <c r="E85" t="inlineStr"/>
      <c r="F85" t="inlineStr"/>
      <c r="G85">
        <f>INPUT!$B$6</f>
        <v/>
      </c>
      <c r="H85">
        <f>IFERROR(VLOOKUP($P$85,INPUT!$A$48:$I$156,6,FALSE),"")</f>
        <v/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wouldyourather_e0304</t>
        </is>
      </c>
      <c r="Q85">
        <f>IFERROR(VLOOKUP($P$85,INPUT!$A$48:$I$156,4,FALSE),"")</f>
        <v/>
      </c>
      <c r="R85">
        <f>IFERROR(VLOOKUP($P$85,INPUT!$A$48:$I$156,3,FALSE),"")</f>
        <v/>
      </c>
      <c r="S85" t="inlineStr"/>
      <c r="T85" t="inlineStr"/>
      <c r="U85">
        <f>"&lt;aside&gt;🅰1️⃣"&amp;$H$82&amp;"&lt;br&gt;&lt;br&gt;🅰2️⃣"&amp;$H$83&amp;"&lt;br&gt;&lt;br&gt;🅱1️⃣"&amp;$H$84&amp;"&lt;br&gt;&lt;br&gt;&lt;strong&gt;🅱2️⃣"&amp;$H$85&amp;"&lt;/mark&gt;"</f>
        <v/>
      </c>
      <c r="V85" t="inlineStr"/>
      <c r="W85" t="inlineStr"/>
      <c r="X85" t="inlineStr"/>
      <c r="Y85">
        <f>INPUT!$B$7</f>
        <v/>
      </c>
      <c r="Z85">
        <f>INPUT!$B$8</f>
        <v/>
      </c>
      <c r="AA85">
        <f>IFERROR(VLOOKUP($P$85,INPUT!$A$48:$I$156,5,FALSE),"")</f>
        <v/>
      </c>
      <c r="AB85">
        <f>IFERROR(VLOOKUP($AA$85,INPUT!$A$18:$D$24,2,FALSE),"")</f>
        <v/>
      </c>
      <c r="AC85">
        <f>INPUT!$B$9</f>
        <v/>
      </c>
      <c r="AD85" t="inlineStr"/>
      <c r="AE85" t="inlineStr"/>
      <c r="AF85">
        <f>IFERROR(VLOOKUP($AA$85,INPUT!$A$18:$D$24,3,FALSE),"")</f>
        <v/>
      </c>
      <c r="AG85">
        <f>INPUT!$B$10</f>
        <v/>
      </c>
      <c r="AH85">
        <f>IFERROR(VLOOKUP($AA$85,INPUT!$A$18:$D$24,4,FALSE),"")</f>
        <v/>
      </c>
      <c r="AI85">
        <f>INPUT!$B$11</f>
        <v/>
      </c>
      <c r="AJ85">
        <f>INPUT!$B$12</f>
        <v/>
      </c>
      <c r="AK85">
        <f>INPUT!$B$13</f>
        <v/>
      </c>
      <c r="AL85">
        <f>INPUT!$B$14</f>
        <v/>
      </c>
      <c r="AM85">
        <f>INPUT!$B$15</f>
        <v/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>
        <f>IFERROR(VLOOKUP($P$85,INPUT!$A$48:$I$156,7,FALSE),"")</f>
        <v/>
      </c>
      <c r="BE85">
        <f>IFERROR(VLOOKUP($P$85,INPUT!$A$48:$I$156,8,FALSE),"")</f>
        <v/>
      </c>
      <c r="BF85">
        <f>IFERROR(VLOOKUP($P$85,INPUT!$A$48:$I$156,9,FALSE),"")</f>
        <v/>
      </c>
      <c r="BG85">
        <f>IF(TRIM($Q$85)&lt;&gt;"",TRIM($Q$85),TRIM($R$85))</f>
        <v/>
      </c>
    </row>
    <row r="86">
      <c r="A86">
        <f>INPUT!$B$5</f>
        <v/>
      </c>
      <c r="B86" t="inlineStr">
        <is>
          <t>01</t>
        </is>
      </c>
      <c r="C86" t="inlineStr"/>
      <c r="D86" t="inlineStr"/>
      <c r="E86" t="inlineStr"/>
      <c r="F86" t="inlineStr"/>
      <c r="G86">
        <f>INPUT!$B$6</f>
        <v/>
      </c>
      <c r="H86">
        <f>IFERROR(VLOOKUP($P$86,INPUT!$A$48:$I$156,6,FALSE),"")</f>
        <v/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wouldyourather_f01_i01</t>
        </is>
      </c>
      <c r="Q86">
        <f>IFERROR(VLOOKUP($P$86,INPUT!$A$48:$I$156,4,FALSE),"")</f>
        <v/>
      </c>
      <c r="R86">
        <f>IFERROR(VLOOKUP($P$86,INPUT!$A$48:$I$156,3,FALSE),"")</f>
        <v/>
      </c>
      <c r="S86" t="inlineStr"/>
      <c r="T86" t="inlineStr"/>
      <c r="U86">
        <f>"&lt;aside&gt;&lt;strong&gt;🅰1️⃣"&amp;$H$86&amp;"&lt;/strong&gt;&lt;br&gt;&lt;br&gt;🅰2️⃣___________&lt;br&gt;&lt;br&gt;🅱1️⃣___________&lt;br&gt;&lt;br&gt;🅱2️⃣___________&gt;&lt;/mark&gt;"</f>
        <v/>
      </c>
      <c r="V86" t="inlineStr"/>
      <c r="W86" t="inlineStr"/>
      <c r="X86" t="inlineStr"/>
      <c r="Y86">
        <f>INPUT!$B$7</f>
        <v/>
      </c>
      <c r="Z86">
        <f>INPUT!$B$8</f>
        <v/>
      </c>
      <c r="AA86">
        <f>IFERROR(VLOOKUP($P$86,INPUT!$A$48:$I$156,5,FALSE),"")</f>
        <v/>
      </c>
      <c r="AB86">
        <f>IFERROR(VLOOKUP($AA$86,INPUT!$A$18:$D$24,2,FALSE),"")</f>
        <v/>
      </c>
      <c r="AC86">
        <f>INPUT!$B$9</f>
        <v/>
      </c>
      <c r="AD86" t="inlineStr"/>
      <c r="AE86" t="inlineStr"/>
      <c r="AF86">
        <f>IFERROR(VLOOKUP($AA$86,INPUT!$A$18:$D$24,3,FALSE),"")</f>
        <v/>
      </c>
      <c r="AG86">
        <f>INPUT!$B$10</f>
        <v/>
      </c>
      <c r="AH86">
        <f>IFERROR(VLOOKUP($AA$86,INPUT!$A$18:$D$24,4,FALSE),"")</f>
        <v/>
      </c>
      <c r="AI86">
        <f>INPUT!$B$11</f>
        <v/>
      </c>
      <c r="AJ86">
        <f>INPUT!$B$12</f>
        <v/>
      </c>
      <c r="AK86">
        <f>INPUT!$B$13</f>
        <v/>
      </c>
      <c r="AL86">
        <f>INPUT!$B$14</f>
        <v/>
      </c>
      <c r="AM86">
        <f>INPUT!$B$15</f>
        <v/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>
        <f>IFERROR(VLOOKUP($P$86,INPUT!$A$48:$I$156,7,FALSE),"")</f>
        <v/>
      </c>
      <c r="BE86">
        <f>IFERROR(VLOOKUP($P$86,INPUT!$A$48:$I$156,8,FALSE),"")</f>
        <v/>
      </c>
      <c r="BF86">
        <f>IFERROR(VLOOKUP($P$86,INPUT!$A$48:$I$156,9,FALSE),"")</f>
        <v/>
      </c>
      <c r="BG86">
        <f>IF(TRIM($Q$86)&lt;&gt;"",TRIM($Q$86),TRIM($R$86))</f>
        <v/>
      </c>
    </row>
    <row r="87">
      <c r="A87">
        <f>INPUT!$B$5</f>
        <v/>
      </c>
      <c r="B87" t="inlineStr">
        <is>
          <t>02</t>
        </is>
      </c>
      <c r="C87" t="inlineStr"/>
      <c r="D87" t="inlineStr"/>
      <c r="E87" t="inlineStr"/>
      <c r="F87" t="inlineStr"/>
      <c r="G87">
        <f>INPUT!$B$6</f>
        <v/>
      </c>
      <c r="H87">
        <f>IFERROR(VLOOKUP($P$87,INPUT!$A$48:$I$156,6,FALSE),"")</f>
        <v/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wouldyourather_f01_i02</t>
        </is>
      </c>
      <c r="Q87">
        <f>IFERROR(VLOOKUP($P$87,INPUT!$A$48:$I$156,4,FALSE),"")</f>
        <v/>
      </c>
      <c r="R87">
        <f>IFERROR(VLOOKUP($P$87,INPUT!$A$48:$I$156,3,FALSE),"")</f>
        <v/>
      </c>
      <c r="S87" t="inlineStr"/>
      <c r="T87" t="inlineStr"/>
      <c r="U87">
        <f>"&lt;aside&gt;🅰1️⃣"&amp;$H$86&amp;"&lt;br&gt;&lt;br&gt;&lt;strong&gt;🅰2️⃣"&amp;$H$87&amp;"&lt;/strong&gt;&lt;br&gt;&lt;br&gt;🅱1️⃣___________&lt;br&gt;&lt;br&gt;🅱2️⃣___________&lt;/mark&gt;"</f>
        <v/>
      </c>
      <c r="V87" t="inlineStr"/>
      <c r="W87" t="inlineStr"/>
      <c r="X87" t="inlineStr"/>
      <c r="Y87">
        <f>INPUT!$B$7</f>
        <v/>
      </c>
      <c r="Z87">
        <f>INPUT!$B$8</f>
        <v/>
      </c>
      <c r="AA87">
        <f>IFERROR(VLOOKUP($P$87,INPUT!$A$48:$I$156,5,FALSE),"")</f>
        <v/>
      </c>
      <c r="AB87">
        <f>IFERROR(VLOOKUP($AA$87,INPUT!$A$18:$D$24,2,FALSE),"")</f>
        <v/>
      </c>
      <c r="AC87">
        <f>INPUT!$B$9</f>
        <v/>
      </c>
      <c r="AD87" t="inlineStr"/>
      <c r="AE87" t="inlineStr"/>
      <c r="AF87">
        <f>IFERROR(VLOOKUP($AA$87,INPUT!$A$18:$D$24,3,FALSE),"")</f>
        <v/>
      </c>
      <c r="AG87">
        <f>INPUT!$B$10</f>
        <v/>
      </c>
      <c r="AH87">
        <f>IFERROR(VLOOKUP($AA$87,INPUT!$A$18:$D$24,4,FALSE),"")</f>
        <v/>
      </c>
      <c r="AI87">
        <f>INPUT!$B$11</f>
        <v/>
      </c>
      <c r="AJ87">
        <f>INPUT!$B$12</f>
        <v/>
      </c>
      <c r="AK87">
        <f>INPUT!$B$13</f>
        <v/>
      </c>
      <c r="AL87">
        <f>INPUT!$B$14</f>
        <v/>
      </c>
      <c r="AM87">
        <f>INPUT!$B$15</f>
        <v/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>
        <f>IFERROR(VLOOKUP($P$87,INPUT!$A$48:$I$156,7,FALSE),"")</f>
        <v/>
      </c>
      <c r="BE87">
        <f>IFERROR(VLOOKUP($P$87,INPUT!$A$48:$I$156,8,FALSE),"")</f>
        <v/>
      </c>
      <c r="BF87">
        <f>IFERROR(VLOOKUP($P$87,INPUT!$A$48:$I$156,9,FALSE),"")</f>
        <v/>
      </c>
      <c r="BG87">
        <f>IF(TRIM($Q$87)&lt;&gt;"",TRIM($Q$87),TRIM($R$87))</f>
        <v/>
      </c>
    </row>
    <row r="88">
      <c r="A88">
        <f>INPUT!$B$5</f>
        <v/>
      </c>
      <c r="B88" t="inlineStr">
        <is>
          <t>03</t>
        </is>
      </c>
      <c r="C88" t="inlineStr"/>
      <c r="D88" t="inlineStr"/>
      <c r="E88" t="inlineStr"/>
      <c r="F88" t="inlineStr"/>
      <c r="G88">
        <f>INPUT!$B$6</f>
        <v/>
      </c>
      <c r="H88">
        <f>IFERROR(VLOOKUP($P$88,INPUT!$A$48:$I$156,6,FALSE),"")</f>
        <v/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wouldyourather_f01_i03</t>
        </is>
      </c>
      <c r="Q88">
        <f>IFERROR(VLOOKUP($P$88,INPUT!$A$48:$I$156,4,FALSE),"")</f>
        <v/>
      </c>
      <c r="R88">
        <f>IFERROR(VLOOKUP($P$88,INPUT!$A$48:$I$156,3,FALSE),"")</f>
        <v/>
      </c>
      <c r="S88" t="inlineStr"/>
      <c r="T88" t="inlineStr"/>
      <c r="U88">
        <f>"&lt;aside&gt;🅰1️⃣"&amp;$H$86&amp;"&lt;br&gt;&lt;br&gt;🅰2️⃣"&amp;$H$87&amp;"&lt;br&gt;&lt;br&gt;&lt;strong&gt;🅱1️⃣"&amp;$H$88&amp;"&lt;/strong&gt;&lt;br&gt;&lt;br&gt;🅱2️⃣___________&lt;/mark&gt;"</f>
        <v/>
      </c>
      <c r="V88" t="inlineStr"/>
      <c r="W88" t="inlineStr"/>
      <c r="X88" t="inlineStr"/>
      <c r="Y88">
        <f>INPUT!$B$7</f>
        <v/>
      </c>
      <c r="Z88">
        <f>INPUT!$B$8</f>
        <v/>
      </c>
      <c r="AA88">
        <f>IFERROR(VLOOKUP($P$88,INPUT!$A$48:$I$156,5,FALSE),"")</f>
        <v/>
      </c>
      <c r="AB88">
        <f>IFERROR(VLOOKUP($AA$88,INPUT!$A$18:$D$24,2,FALSE),"")</f>
        <v/>
      </c>
      <c r="AC88">
        <f>INPUT!$B$9</f>
        <v/>
      </c>
      <c r="AD88" t="inlineStr"/>
      <c r="AE88" t="inlineStr"/>
      <c r="AF88">
        <f>IFERROR(VLOOKUP($AA$88,INPUT!$A$18:$D$24,3,FALSE),"")</f>
        <v/>
      </c>
      <c r="AG88">
        <f>INPUT!$B$10</f>
        <v/>
      </c>
      <c r="AH88">
        <f>IFERROR(VLOOKUP($AA$88,INPUT!$A$18:$D$24,4,FALSE),"")</f>
        <v/>
      </c>
      <c r="AI88">
        <f>INPUT!$B$11</f>
        <v/>
      </c>
      <c r="AJ88">
        <f>INPUT!$B$12</f>
        <v/>
      </c>
      <c r="AK88">
        <f>INPUT!$B$13</f>
        <v/>
      </c>
      <c r="AL88">
        <f>INPUT!$B$14</f>
        <v/>
      </c>
      <c r="AM88">
        <f>INPUT!$B$15</f>
        <v/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>
        <f>IFERROR(VLOOKUP($P$88,INPUT!$A$48:$I$156,7,FALSE),"")</f>
        <v/>
      </c>
      <c r="BE88">
        <f>IFERROR(VLOOKUP($P$88,INPUT!$A$48:$I$156,8,FALSE),"")</f>
        <v/>
      </c>
      <c r="BF88">
        <f>IFERROR(VLOOKUP($P$88,INPUT!$A$48:$I$156,9,FALSE),"")</f>
        <v/>
      </c>
      <c r="BG88">
        <f>IF(TRIM($Q$88)&lt;&gt;"",TRIM($Q$88),TRIM($R$88))</f>
        <v/>
      </c>
    </row>
    <row r="89">
      <c r="A89">
        <f>INPUT!$B$5</f>
        <v/>
      </c>
      <c r="B89" t="inlineStr">
        <is>
          <t>04</t>
        </is>
      </c>
      <c r="C89" t="inlineStr"/>
      <c r="D89" t="inlineStr"/>
      <c r="E89" t="inlineStr"/>
      <c r="F89" t="inlineStr"/>
      <c r="G89">
        <f>INPUT!$B$6</f>
        <v/>
      </c>
      <c r="H89">
        <f>IFERROR(VLOOKUP($P$89,INPUT!$A$48:$I$156,6,FALSE),"")</f>
        <v/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wouldyourather_f01_i04</t>
        </is>
      </c>
      <c r="Q89">
        <f>IFERROR(VLOOKUP($P$89,INPUT!$A$48:$I$156,4,FALSE),"")</f>
        <v/>
      </c>
      <c r="R89">
        <f>IFERROR(VLOOKUP($P$89,INPUT!$A$48:$I$156,3,FALSE),"")</f>
        <v/>
      </c>
      <c r="S89" t="inlineStr"/>
      <c r="T89" t="inlineStr"/>
      <c r="U89">
        <f>"&lt;aside&gt;🅰1️⃣"&amp;$H$86&amp;"&lt;br&gt;&lt;br&gt;🅰2️⃣"&amp;$H$87&amp;"&lt;br&gt;&lt;br&gt;🅱1️⃣"&amp;$H$88&amp;"&lt;br&gt;&lt;br&gt;&lt;strong&gt;🅱2️⃣"&amp;$H$89&amp;"&lt;/mark&gt;"</f>
        <v/>
      </c>
      <c r="V89" t="inlineStr"/>
      <c r="W89" t="inlineStr"/>
      <c r="X89" t="inlineStr"/>
      <c r="Y89">
        <f>INPUT!$B$7</f>
        <v/>
      </c>
      <c r="Z89">
        <f>INPUT!$B$8</f>
        <v/>
      </c>
      <c r="AA89">
        <f>IFERROR(VLOOKUP($P$89,INPUT!$A$48:$I$156,5,FALSE),"")</f>
        <v/>
      </c>
      <c r="AB89">
        <f>IFERROR(VLOOKUP($AA$89,INPUT!$A$18:$D$24,2,FALSE),"")</f>
        <v/>
      </c>
      <c r="AC89">
        <f>INPUT!$B$9</f>
        <v/>
      </c>
      <c r="AD89" t="inlineStr"/>
      <c r="AE89" t="inlineStr"/>
      <c r="AF89">
        <f>IFERROR(VLOOKUP($AA$89,INPUT!$A$18:$D$24,3,FALSE),"")</f>
        <v/>
      </c>
      <c r="AG89">
        <f>INPUT!$B$10</f>
        <v/>
      </c>
      <c r="AH89">
        <f>IFERROR(VLOOKUP($AA$89,INPUT!$A$18:$D$24,4,FALSE),"")</f>
        <v/>
      </c>
      <c r="AI89">
        <f>INPUT!$B$11</f>
        <v/>
      </c>
      <c r="AJ89">
        <f>INPUT!$B$12</f>
        <v/>
      </c>
      <c r="AK89">
        <f>INPUT!$B$13</f>
        <v/>
      </c>
      <c r="AL89">
        <f>INPUT!$B$14</f>
        <v/>
      </c>
      <c r="AM89">
        <f>INPUT!$B$15</f>
        <v/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>
        <f>IFERROR(VLOOKUP($P$89,INPUT!$A$48:$I$156,7,FALSE),"")</f>
        <v/>
      </c>
      <c r="BE89">
        <f>IFERROR(VLOOKUP($P$89,INPUT!$A$48:$I$156,8,FALSE),"")</f>
        <v/>
      </c>
      <c r="BF89">
        <f>IFERROR(VLOOKUP($P$89,INPUT!$A$48:$I$156,9,FALSE),"")</f>
        <v/>
      </c>
      <c r="BG89">
        <f>IF(TRIM($Q$89)&lt;&gt;"",TRIM($Q$89),TRIM($R$89))</f>
        <v/>
      </c>
    </row>
    <row r="90">
      <c r="A90">
        <f>INPUT!$B$5</f>
        <v/>
      </c>
      <c r="B90" t="inlineStr">
        <is>
          <t>01</t>
        </is>
      </c>
      <c r="C90" t="inlineStr"/>
      <c r="D90" t="inlineStr"/>
      <c r="E90" t="inlineStr"/>
      <c r="F90" t="inlineStr"/>
      <c r="G90">
        <f>INPUT!$B$6</f>
        <v/>
      </c>
      <c r="H90">
        <f>IFERROR(VLOOKUP($P$90,INPUT!$A$48:$I$156,6,FALSE),"")</f>
        <v/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wouldyourather_f01_ii01</t>
        </is>
      </c>
      <c r="Q90">
        <f>IFERROR(VLOOKUP($P$90,INPUT!$A$48:$I$156,4,FALSE),"")</f>
        <v/>
      </c>
      <c r="R90">
        <f>IFERROR(VLOOKUP($P$90,INPUT!$A$48:$I$156,3,FALSE),"")</f>
        <v/>
      </c>
      <c r="S90" t="inlineStr"/>
      <c r="T90" t="inlineStr"/>
      <c r="U90">
        <f>"&lt;aside&gt;&lt;strong&gt;🅰1️⃣"&amp;$H$90&amp;"&lt;/strong&gt;&lt;br&gt;&lt;br&gt;🅰2️⃣___________&lt;br&gt;&lt;br&gt;🅱1️⃣___________&lt;br&gt;&lt;br&gt;🅱2️⃣___________&gt;&lt;/mark&gt;"</f>
        <v/>
      </c>
      <c r="V90" t="inlineStr"/>
      <c r="W90" t="inlineStr"/>
      <c r="X90" t="inlineStr"/>
      <c r="Y90">
        <f>INPUT!$B$7</f>
        <v/>
      </c>
      <c r="Z90">
        <f>INPUT!$B$8</f>
        <v/>
      </c>
      <c r="AA90">
        <f>IFERROR(VLOOKUP($P$90,INPUT!$A$48:$I$156,5,FALSE),"")</f>
        <v/>
      </c>
      <c r="AB90">
        <f>IFERROR(VLOOKUP($AA$90,INPUT!$A$18:$D$24,2,FALSE),"")</f>
        <v/>
      </c>
      <c r="AC90">
        <f>INPUT!$B$9</f>
        <v/>
      </c>
      <c r="AD90" t="inlineStr"/>
      <c r="AE90" t="inlineStr"/>
      <c r="AF90">
        <f>IFERROR(VLOOKUP($AA$90,INPUT!$A$18:$D$24,3,FALSE),"")</f>
        <v/>
      </c>
      <c r="AG90">
        <f>INPUT!$B$10</f>
        <v/>
      </c>
      <c r="AH90">
        <f>IFERROR(VLOOKUP($AA$90,INPUT!$A$18:$D$24,4,FALSE),"")</f>
        <v/>
      </c>
      <c r="AI90">
        <f>INPUT!$B$11</f>
        <v/>
      </c>
      <c r="AJ90">
        <f>INPUT!$B$12</f>
        <v/>
      </c>
      <c r="AK90">
        <f>INPUT!$B$13</f>
        <v/>
      </c>
      <c r="AL90">
        <f>INPUT!$B$14</f>
        <v/>
      </c>
      <c r="AM90">
        <f>INPUT!$B$15</f>
        <v/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>
        <f>IFERROR(VLOOKUP($P$90,INPUT!$A$48:$I$156,7,FALSE),"")</f>
        <v/>
      </c>
      <c r="BE90">
        <f>IFERROR(VLOOKUP($P$90,INPUT!$A$48:$I$156,8,FALSE),"")</f>
        <v/>
      </c>
      <c r="BF90">
        <f>IFERROR(VLOOKUP($P$90,INPUT!$A$48:$I$156,9,FALSE),"")</f>
        <v/>
      </c>
      <c r="BG90">
        <f>IF(TRIM($Q$90)&lt;&gt;"",TRIM($Q$90),TRIM($R$90))</f>
        <v/>
      </c>
    </row>
    <row r="91">
      <c r="A91">
        <f>INPUT!$B$5</f>
        <v/>
      </c>
      <c r="B91" t="inlineStr">
        <is>
          <t>02</t>
        </is>
      </c>
      <c r="C91" t="inlineStr"/>
      <c r="D91" t="inlineStr"/>
      <c r="E91" t="inlineStr"/>
      <c r="F91" t="inlineStr"/>
      <c r="G91">
        <f>INPUT!$B$6</f>
        <v/>
      </c>
      <c r="H91">
        <f>IFERROR(VLOOKUP($P$91,INPUT!$A$48:$I$156,6,FALSE),"")</f>
        <v/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wouldyourather_f01_ii02</t>
        </is>
      </c>
      <c r="Q91">
        <f>IFERROR(VLOOKUP($P$91,INPUT!$A$48:$I$156,4,FALSE),"")</f>
        <v/>
      </c>
      <c r="R91">
        <f>IFERROR(VLOOKUP($P$91,INPUT!$A$48:$I$156,3,FALSE),"")</f>
        <v/>
      </c>
      <c r="S91" t="inlineStr"/>
      <c r="T91" t="inlineStr"/>
      <c r="U91">
        <f>"&lt;aside&gt;🅰1️⃣"&amp;$H$90&amp;"&lt;br&gt;&lt;br&gt;&lt;strong&gt;🅰2️⃣"&amp;$H$91&amp;"&lt;/strong&gt;&lt;br&gt;&lt;br&gt;🅱1️⃣___________&lt;br&gt;&lt;br&gt;🅱2️⃣___________&lt;/mark&gt;"</f>
        <v/>
      </c>
      <c r="V91" t="inlineStr"/>
      <c r="W91" t="inlineStr"/>
      <c r="X91" t="inlineStr"/>
      <c r="Y91">
        <f>INPUT!$B$7</f>
        <v/>
      </c>
      <c r="Z91">
        <f>INPUT!$B$8</f>
        <v/>
      </c>
      <c r="AA91">
        <f>IFERROR(VLOOKUP($P$91,INPUT!$A$48:$I$156,5,FALSE),"")</f>
        <v/>
      </c>
      <c r="AB91">
        <f>IFERROR(VLOOKUP($AA$91,INPUT!$A$18:$D$24,2,FALSE),"")</f>
        <v/>
      </c>
      <c r="AC91">
        <f>INPUT!$B$9</f>
        <v/>
      </c>
      <c r="AD91" t="inlineStr"/>
      <c r="AE91" t="inlineStr"/>
      <c r="AF91">
        <f>IFERROR(VLOOKUP($AA$91,INPUT!$A$18:$D$24,3,FALSE),"")</f>
        <v/>
      </c>
      <c r="AG91">
        <f>INPUT!$B$10</f>
        <v/>
      </c>
      <c r="AH91">
        <f>IFERROR(VLOOKUP($AA$91,INPUT!$A$18:$D$24,4,FALSE),"")</f>
        <v/>
      </c>
      <c r="AI91">
        <f>INPUT!$B$11</f>
        <v/>
      </c>
      <c r="AJ91">
        <f>INPUT!$B$12</f>
        <v/>
      </c>
      <c r="AK91">
        <f>INPUT!$B$13</f>
        <v/>
      </c>
      <c r="AL91">
        <f>INPUT!$B$14</f>
        <v/>
      </c>
      <c r="AM91">
        <f>INPUT!$B$15</f>
        <v/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>
        <f>IFERROR(VLOOKUP($P$91,INPUT!$A$48:$I$156,7,FALSE),"")</f>
        <v/>
      </c>
      <c r="BE91">
        <f>IFERROR(VLOOKUP($P$91,INPUT!$A$48:$I$156,8,FALSE),"")</f>
        <v/>
      </c>
      <c r="BF91">
        <f>IFERROR(VLOOKUP($P$91,INPUT!$A$48:$I$156,9,FALSE),"")</f>
        <v/>
      </c>
      <c r="BG91">
        <f>IF(TRIM($Q$91)&lt;&gt;"",TRIM($Q$91),TRIM($R$91))</f>
        <v/>
      </c>
    </row>
    <row r="92">
      <c r="A92">
        <f>INPUT!$B$5</f>
        <v/>
      </c>
      <c r="B92" t="inlineStr">
        <is>
          <t>03</t>
        </is>
      </c>
      <c r="C92" t="inlineStr"/>
      <c r="D92" t="inlineStr"/>
      <c r="E92" t="inlineStr"/>
      <c r="F92" t="inlineStr"/>
      <c r="G92">
        <f>INPUT!$B$6</f>
        <v/>
      </c>
      <c r="H92">
        <f>IFERROR(VLOOKUP($P$92,INPUT!$A$48:$I$156,6,FALSE),"")</f>
        <v/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wouldyourather_f01_ii03</t>
        </is>
      </c>
      <c r="Q92">
        <f>IFERROR(VLOOKUP($P$92,INPUT!$A$48:$I$156,4,FALSE),"")</f>
        <v/>
      </c>
      <c r="R92">
        <f>IFERROR(VLOOKUP($P$92,INPUT!$A$48:$I$156,3,FALSE),"")</f>
        <v/>
      </c>
      <c r="S92" t="inlineStr"/>
      <c r="T92" t="inlineStr"/>
      <c r="U92">
        <f>"&lt;aside&gt;🅰1️⃣"&amp;$H$90&amp;"&lt;br&gt;&lt;br&gt;🅰2️⃣"&amp;$H$91&amp;"&lt;br&gt;&lt;br&gt;&lt;strong&gt;🅱1️⃣"&amp;$H$92&amp;"&lt;/strong&gt;&lt;br&gt;&lt;br&gt;🅱2️⃣___________&lt;/mark&gt;"</f>
        <v/>
      </c>
      <c r="V92" t="inlineStr"/>
      <c r="W92" t="inlineStr"/>
      <c r="X92" t="inlineStr"/>
      <c r="Y92">
        <f>INPUT!$B$7</f>
        <v/>
      </c>
      <c r="Z92">
        <f>INPUT!$B$8</f>
        <v/>
      </c>
      <c r="AA92">
        <f>IFERROR(VLOOKUP($P$92,INPUT!$A$48:$I$156,5,FALSE),"")</f>
        <v/>
      </c>
      <c r="AB92">
        <f>IFERROR(VLOOKUP($AA$92,INPUT!$A$18:$D$24,2,FALSE),"")</f>
        <v/>
      </c>
      <c r="AC92">
        <f>INPUT!$B$9</f>
        <v/>
      </c>
      <c r="AD92" t="inlineStr"/>
      <c r="AE92" t="inlineStr"/>
      <c r="AF92">
        <f>IFERROR(VLOOKUP($AA$92,INPUT!$A$18:$D$24,3,FALSE),"")</f>
        <v/>
      </c>
      <c r="AG92">
        <f>INPUT!$B$10</f>
        <v/>
      </c>
      <c r="AH92">
        <f>IFERROR(VLOOKUP($AA$92,INPUT!$A$18:$D$24,4,FALSE),"")</f>
        <v/>
      </c>
      <c r="AI92">
        <f>INPUT!$B$11</f>
        <v/>
      </c>
      <c r="AJ92">
        <f>INPUT!$B$12</f>
        <v/>
      </c>
      <c r="AK92">
        <f>INPUT!$B$13</f>
        <v/>
      </c>
      <c r="AL92">
        <f>INPUT!$B$14</f>
        <v/>
      </c>
      <c r="AM92">
        <f>INPUT!$B$15</f>
        <v/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>
        <f>IFERROR(VLOOKUP($P$92,INPUT!$A$48:$I$156,7,FALSE),"")</f>
        <v/>
      </c>
      <c r="BE92">
        <f>IFERROR(VLOOKUP($P$92,INPUT!$A$48:$I$156,8,FALSE),"")</f>
        <v/>
      </c>
      <c r="BF92">
        <f>IFERROR(VLOOKUP($P$92,INPUT!$A$48:$I$156,9,FALSE),"")</f>
        <v/>
      </c>
      <c r="BG92">
        <f>IF(TRIM($Q$92)&lt;&gt;"",TRIM($Q$92),TRIM($R$92))</f>
        <v/>
      </c>
    </row>
    <row r="93">
      <c r="A93">
        <f>INPUT!$B$5</f>
        <v/>
      </c>
      <c r="B93" t="inlineStr">
        <is>
          <t>04</t>
        </is>
      </c>
      <c r="C93" t="inlineStr"/>
      <c r="D93" t="inlineStr"/>
      <c r="E93" t="inlineStr"/>
      <c r="F93" t="inlineStr"/>
      <c r="G93">
        <f>INPUT!$B$6</f>
        <v/>
      </c>
      <c r="H93">
        <f>IFERROR(VLOOKUP($P$93,INPUT!$A$48:$I$156,6,FALSE),"")</f>
        <v/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wouldyourather_f01_ii04</t>
        </is>
      </c>
      <c r="Q93">
        <f>IFERROR(VLOOKUP($P$93,INPUT!$A$48:$I$156,4,FALSE),"")</f>
        <v/>
      </c>
      <c r="R93">
        <f>IFERROR(VLOOKUP($P$93,INPUT!$A$48:$I$156,3,FALSE),"")</f>
        <v/>
      </c>
      <c r="S93" t="inlineStr"/>
      <c r="T93" t="inlineStr"/>
      <c r="U93">
        <f>"&lt;aside&gt;🅰1️⃣"&amp;$H$90&amp;"&lt;br&gt;&lt;br&gt;🅰2️⃣"&amp;$H$91&amp;"&lt;br&gt;&lt;br&gt;🅱1️⃣"&amp;$H$92&amp;"&lt;br&gt;&lt;br&gt;&lt;strong&gt;🅱2️⃣"&amp;$H$93&amp;"&lt;/mark&gt;"</f>
        <v/>
      </c>
      <c r="V93" t="inlineStr"/>
      <c r="W93" t="inlineStr"/>
      <c r="X93" t="inlineStr"/>
      <c r="Y93">
        <f>INPUT!$B$7</f>
        <v/>
      </c>
      <c r="Z93">
        <f>INPUT!$B$8</f>
        <v/>
      </c>
      <c r="AA93">
        <f>IFERROR(VLOOKUP($P$93,INPUT!$A$48:$I$156,5,FALSE),"")</f>
        <v/>
      </c>
      <c r="AB93">
        <f>IFERROR(VLOOKUP($AA$93,INPUT!$A$18:$D$24,2,FALSE),"")</f>
        <v/>
      </c>
      <c r="AC93">
        <f>INPUT!$B$9</f>
        <v/>
      </c>
      <c r="AD93" t="inlineStr"/>
      <c r="AE93" t="inlineStr"/>
      <c r="AF93">
        <f>IFERROR(VLOOKUP($AA$93,INPUT!$A$18:$D$24,3,FALSE),"")</f>
        <v/>
      </c>
      <c r="AG93">
        <f>INPUT!$B$10</f>
        <v/>
      </c>
      <c r="AH93">
        <f>IFERROR(VLOOKUP($AA$93,INPUT!$A$18:$D$24,4,FALSE),"")</f>
        <v/>
      </c>
      <c r="AI93">
        <f>INPUT!$B$11</f>
        <v/>
      </c>
      <c r="AJ93">
        <f>INPUT!$B$12</f>
        <v/>
      </c>
      <c r="AK93">
        <f>INPUT!$B$13</f>
        <v/>
      </c>
      <c r="AL93">
        <f>INPUT!$B$14</f>
        <v/>
      </c>
      <c r="AM93">
        <f>INPUT!$B$15</f>
        <v/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>
        <f>IFERROR(VLOOKUP($P$93,INPUT!$A$48:$I$156,7,FALSE),"")</f>
        <v/>
      </c>
      <c r="BE93">
        <f>IFERROR(VLOOKUP($P$93,INPUT!$A$48:$I$156,8,FALSE),"")</f>
        <v/>
      </c>
      <c r="BF93">
        <f>IFERROR(VLOOKUP($P$93,INPUT!$A$48:$I$156,9,FALSE),"")</f>
        <v/>
      </c>
      <c r="BG93">
        <f>IF(TRIM($Q$93)&lt;&gt;"",TRIM($Q$93),TRIM($R$93))</f>
        <v/>
      </c>
    </row>
    <row r="94">
      <c r="A94">
        <f>INPUT!$B$5</f>
        <v/>
      </c>
      <c r="B94" t="inlineStr">
        <is>
          <t>01</t>
        </is>
      </c>
      <c r="C94" t="inlineStr"/>
      <c r="D94" t="inlineStr"/>
      <c r="E94" t="inlineStr"/>
      <c r="F94" t="inlineStr"/>
      <c r="G94">
        <f>INPUT!$B$6</f>
        <v/>
      </c>
      <c r="H94">
        <f>IFERROR(VLOOKUP($P$94,INPUT!$A$48:$I$156,6,FALSE),"")</f>
        <v/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wouldyourather_f02_i01</t>
        </is>
      </c>
      <c r="Q94">
        <f>IFERROR(VLOOKUP($P$94,INPUT!$A$48:$I$156,4,FALSE),"")</f>
        <v/>
      </c>
      <c r="R94">
        <f>IFERROR(VLOOKUP($P$94,INPUT!$A$48:$I$156,3,FALSE),"")</f>
        <v/>
      </c>
      <c r="S94" t="inlineStr"/>
      <c r="T94" t="inlineStr"/>
      <c r="U94">
        <f>"&lt;aside&gt;&lt;strong&gt;🅰1️⃣"&amp;$H$94&amp;"&lt;/strong&gt;&lt;br&gt;&lt;br&gt;🅰2️⃣___________&lt;br&gt;&lt;br&gt;🅱1️⃣___________&lt;br&gt;&lt;br&gt;🅱2️⃣___________&gt;&lt;/mark&gt;"</f>
        <v/>
      </c>
      <c r="V94" t="inlineStr"/>
      <c r="W94" t="inlineStr"/>
      <c r="X94" t="inlineStr"/>
      <c r="Y94">
        <f>INPUT!$B$7</f>
        <v/>
      </c>
      <c r="Z94">
        <f>INPUT!$B$8</f>
        <v/>
      </c>
      <c r="AA94">
        <f>IFERROR(VLOOKUP($P$94,INPUT!$A$48:$I$156,5,FALSE),"")</f>
        <v/>
      </c>
      <c r="AB94">
        <f>IFERROR(VLOOKUP($AA$94,INPUT!$A$18:$D$24,2,FALSE),"")</f>
        <v/>
      </c>
      <c r="AC94">
        <f>INPUT!$B$9</f>
        <v/>
      </c>
      <c r="AD94" t="inlineStr"/>
      <c r="AE94" t="inlineStr"/>
      <c r="AF94">
        <f>IFERROR(VLOOKUP($AA$94,INPUT!$A$18:$D$24,3,FALSE),"")</f>
        <v/>
      </c>
      <c r="AG94">
        <f>INPUT!$B$10</f>
        <v/>
      </c>
      <c r="AH94">
        <f>IFERROR(VLOOKUP($AA$94,INPUT!$A$18:$D$24,4,FALSE),"")</f>
        <v/>
      </c>
      <c r="AI94">
        <f>INPUT!$B$11</f>
        <v/>
      </c>
      <c r="AJ94">
        <f>INPUT!$B$12</f>
        <v/>
      </c>
      <c r="AK94">
        <f>INPUT!$B$13</f>
        <v/>
      </c>
      <c r="AL94">
        <f>INPUT!$B$14</f>
        <v/>
      </c>
      <c r="AM94">
        <f>INPUT!$B$15</f>
        <v/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>
        <f>IFERROR(VLOOKUP($P$94,INPUT!$A$48:$I$156,7,FALSE),"")</f>
        <v/>
      </c>
      <c r="BE94">
        <f>IFERROR(VLOOKUP($P$94,INPUT!$A$48:$I$156,8,FALSE),"")</f>
        <v/>
      </c>
      <c r="BF94">
        <f>IFERROR(VLOOKUP($P$94,INPUT!$A$48:$I$156,9,FALSE),"")</f>
        <v/>
      </c>
      <c r="BG94">
        <f>IF(TRIM($Q$94)&lt;&gt;"",TRIM($Q$94),TRIM($R$94))</f>
        <v/>
      </c>
    </row>
    <row r="95">
      <c r="A95">
        <f>INPUT!$B$5</f>
        <v/>
      </c>
      <c r="B95" t="inlineStr">
        <is>
          <t>02</t>
        </is>
      </c>
      <c r="C95" t="inlineStr"/>
      <c r="D95" t="inlineStr"/>
      <c r="E95" t="inlineStr"/>
      <c r="F95" t="inlineStr"/>
      <c r="G95">
        <f>INPUT!$B$6</f>
        <v/>
      </c>
      <c r="H95">
        <f>IFERROR(VLOOKUP($P$95,INPUT!$A$48:$I$156,6,FALSE),"")</f>
        <v/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wouldyourather_f02_i02</t>
        </is>
      </c>
      <c r="Q95">
        <f>IFERROR(VLOOKUP($P$95,INPUT!$A$48:$I$156,4,FALSE),"")</f>
        <v/>
      </c>
      <c r="R95">
        <f>IFERROR(VLOOKUP($P$95,INPUT!$A$48:$I$156,3,FALSE),"")</f>
        <v/>
      </c>
      <c r="S95" t="inlineStr"/>
      <c r="T95" t="inlineStr"/>
      <c r="U95">
        <f>"&lt;aside&gt;🅰1️⃣"&amp;$H$94&amp;"&lt;br&gt;&lt;br&gt;&lt;strong&gt;🅰2️⃣"&amp;$H$95&amp;"&lt;/strong&gt;&lt;br&gt;&lt;br&gt;🅱1️⃣___________&lt;br&gt;&lt;br&gt;🅱2️⃣___________&lt;/mark&gt;"</f>
        <v/>
      </c>
      <c r="V95" t="inlineStr"/>
      <c r="W95" t="inlineStr"/>
      <c r="X95" t="inlineStr"/>
      <c r="Y95">
        <f>INPUT!$B$7</f>
        <v/>
      </c>
      <c r="Z95">
        <f>INPUT!$B$8</f>
        <v/>
      </c>
      <c r="AA95">
        <f>IFERROR(VLOOKUP($P$95,INPUT!$A$48:$I$156,5,FALSE),"")</f>
        <v/>
      </c>
      <c r="AB95">
        <f>IFERROR(VLOOKUP($AA$95,INPUT!$A$18:$D$24,2,FALSE),"")</f>
        <v/>
      </c>
      <c r="AC95">
        <f>INPUT!$B$9</f>
        <v/>
      </c>
      <c r="AD95" t="inlineStr"/>
      <c r="AE95" t="inlineStr"/>
      <c r="AF95">
        <f>IFERROR(VLOOKUP($AA$95,INPUT!$A$18:$D$24,3,FALSE),"")</f>
        <v/>
      </c>
      <c r="AG95">
        <f>INPUT!$B$10</f>
        <v/>
      </c>
      <c r="AH95">
        <f>IFERROR(VLOOKUP($AA$95,INPUT!$A$18:$D$24,4,FALSE),"")</f>
        <v/>
      </c>
      <c r="AI95">
        <f>INPUT!$B$11</f>
        <v/>
      </c>
      <c r="AJ95">
        <f>INPUT!$B$12</f>
        <v/>
      </c>
      <c r="AK95">
        <f>INPUT!$B$13</f>
        <v/>
      </c>
      <c r="AL95">
        <f>INPUT!$B$14</f>
        <v/>
      </c>
      <c r="AM95">
        <f>INPUT!$B$15</f>
        <v/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>
        <f>IFERROR(VLOOKUP($P$95,INPUT!$A$48:$I$156,7,FALSE),"")</f>
        <v/>
      </c>
      <c r="BE95">
        <f>IFERROR(VLOOKUP($P$95,INPUT!$A$48:$I$156,8,FALSE),"")</f>
        <v/>
      </c>
      <c r="BF95">
        <f>IFERROR(VLOOKUP($P$95,INPUT!$A$48:$I$156,9,FALSE),"")</f>
        <v/>
      </c>
      <c r="BG95">
        <f>IF(TRIM($Q$95)&lt;&gt;"",TRIM($Q$95),TRIM($R$95))</f>
        <v/>
      </c>
    </row>
    <row r="96">
      <c r="A96">
        <f>INPUT!$B$5</f>
        <v/>
      </c>
      <c r="B96" t="inlineStr">
        <is>
          <t>03</t>
        </is>
      </c>
      <c r="C96" t="inlineStr"/>
      <c r="D96" t="inlineStr"/>
      <c r="E96" t="inlineStr"/>
      <c r="F96" t="inlineStr"/>
      <c r="G96">
        <f>INPUT!$B$6</f>
        <v/>
      </c>
      <c r="H96">
        <f>IFERROR(VLOOKUP($P$96,INPUT!$A$48:$I$156,6,FALSE),"")</f>
        <v/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wouldyourather_f02_i03</t>
        </is>
      </c>
      <c r="Q96">
        <f>IFERROR(VLOOKUP($P$96,INPUT!$A$48:$I$156,4,FALSE),"")</f>
        <v/>
      </c>
      <c r="R96">
        <f>IFERROR(VLOOKUP($P$96,INPUT!$A$48:$I$156,3,FALSE),"")</f>
        <v/>
      </c>
      <c r="S96" t="inlineStr"/>
      <c r="T96" t="inlineStr"/>
      <c r="U96">
        <f>"&lt;aside&gt;🅰1️⃣"&amp;$H$94&amp;"&lt;br&gt;&lt;br&gt;🅰2️⃣"&amp;$H$95&amp;"&lt;br&gt;&lt;br&gt;&lt;strong&gt;🅱1️⃣"&amp;$H$96&amp;"&lt;/strong&gt;&lt;br&gt;&lt;br&gt;🅱2️⃣___________&lt;/mark&gt;"</f>
        <v/>
      </c>
      <c r="V96" t="inlineStr"/>
      <c r="W96" t="inlineStr"/>
      <c r="X96" t="inlineStr"/>
      <c r="Y96">
        <f>INPUT!$B$7</f>
        <v/>
      </c>
      <c r="Z96">
        <f>INPUT!$B$8</f>
        <v/>
      </c>
      <c r="AA96">
        <f>IFERROR(VLOOKUP($P$96,INPUT!$A$48:$I$156,5,FALSE),"")</f>
        <v/>
      </c>
      <c r="AB96">
        <f>IFERROR(VLOOKUP($AA$96,INPUT!$A$18:$D$24,2,FALSE),"")</f>
        <v/>
      </c>
      <c r="AC96">
        <f>INPUT!$B$9</f>
        <v/>
      </c>
      <c r="AD96" t="inlineStr"/>
      <c r="AE96" t="inlineStr"/>
      <c r="AF96">
        <f>IFERROR(VLOOKUP($AA$96,INPUT!$A$18:$D$24,3,FALSE),"")</f>
        <v/>
      </c>
      <c r="AG96">
        <f>INPUT!$B$10</f>
        <v/>
      </c>
      <c r="AH96">
        <f>IFERROR(VLOOKUP($AA$96,INPUT!$A$18:$D$24,4,FALSE),"")</f>
        <v/>
      </c>
      <c r="AI96">
        <f>INPUT!$B$11</f>
        <v/>
      </c>
      <c r="AJ96">
        <f>INPUT!$B$12</f>
        <v/>
      </c>
      <c r="AK96">
        <f>INPUT!$B$13</f>
        <v/>
      </c>
      <c r="AL96">
        <f>INPUT!$B$14</f>
        <v/>
      </c>
      <c r="AM96">
        <f>INPUT!$B$15</f>
        <v/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>
        <f>IFERROR(VLOOKUP($P$96,INPUT!$A$48:$I$156,7,FALSE),"")</f>
        <v/>
      </c>
      <c r="BE96">
        <f>IFERROR(VLOOKUP($P$96,INPUT!$A$48:$I$156,8,FALSE),"")</f>
        <v/>
      </c>
      <c r="BF96">
        <f>IFERROR(VLOOKUP($P$96,INPUT!$A$48:$I$156,9,FALSE),"")</f>
        <v/>
      </c>
      <c r="BG96">
        <f>IF(TRIM($Q$96)&lt;&gt;"",TRIM($Q$96),TRIM($R$96))</f>
        <v/>
      </c>
    </row>
    <row r="97">
      <c r="A97">
        <f>INPUT!$B$5</f>
        <v/>
      </c>
      <c r="B97" t="inlineStr">
        <is>
          <t>04</t>
        </is>
      </c>
      <c r="C97" t="inlineStr"/>
      <c r="D97" t="inlineStr"/>
      <c r="E97" t="inlineStr"/>
      <c r="F97" t="inlineStr"/>
      <c r="G97">
        <f>INPUT!$B$6</f>
        <v/>
      </c>
      <c r="H97">
        <f>IFERROR(VLOOKUP($P$97,INPUT!$A$48:$I$156,6,FALSE),"")</f>
        <v/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wouldyourather_f02_i04</t>
        </is>
      </c>
      <c r="Q97">
        <f>IFERROR(VLOOKUP($P$97,INPUT!$A$48:$I$156,4,FALSE),"")</f>
        <v/>
      </c>
      <c r="R97">
        <f>IFERROR(VLOOKUP($P$97,INPUT!$A$48:$I$156,3,FALSE),"")</f>
        <v/>
      </c>
      <c r="S97" t="inlineStr"/>
      <c r="T97" t="inlineStr"/>
      <c r="U97">
        <f>"&lt;aside&gt;🅰1️⃣"&amp;$H$94&amp;"&lt;br&gt;&lt;br&gt;🅰2️⃣"&amp;$H$95&amp;"&lt;br&gt;&lt;br&gt;🅱1️⃣"&amp;$H$96&amp;"&lt;br&gt;&lt;br&gt;&lt;strong&gt;🅱2️⃣"&amp;$H$97&amp;"&lt;/mark&gt;"</f>
        <v/>
      </c>
      <c r="V97" t="inlineStr"/>
      <c r="W97" t="inlineStr"/>
      <c r="X97" t="inlineStr"/>
      <c r="Y97">
        <f>INPUT!$B$7</f>
        <v/>
      </c>
      <c r="Z97">
        <f>INPUT!$B$8</f>
        <v/>
      </c>
      <c r="AA97">
        <f>IFERROR(VLOOKUP($P$97,INPUT!$A$48:$I$156,5,FALSE),"")</f>
        <v/>
      </c>
      <c r="AB97">
        <f>IFERROR(VLOOKUP($AA$97,INPUT!$A$18:$D$24,2,FALSE),"")</f>
        <v/>
      </c>
      <c r="AC97">
        <f>INPUT!$B$9</f>
        <v/>
      </c>
      <c r="AD97" t="inlineStr"/>
      <c r="AE97" t="inlineStr"/>
      <c r="AF97">
        <f>IFERROR(VLOOKUP($AA$97,INPUT!$A$18:$D$24,3,FALSE),"")</f>
        <v/>
      </c>
      <c r="AG97">
        <f>INPUT!$B$10</f>
        <v/>
      </c>
      <c r="AH97">
        <f>IFERROR(VLOOKUP($AA$97,INPUT!$A$18:$D$24,4,FALSE),"")</f>
        <v/>
      </c>
      <c r="AI97">
        <f>INPUT!$B$11</f>
        <v/>
      </c>
      <c r="AJ97">
        <f>INPUT!$B$12</f>
        <v/>
      </c>
      <c r="AK97">
        <f>INPUT!$B$13</f>
        <v/>
      </c>
      <c r="AL97">
        <f>INPUT!$B$14</f>
        <v/>
      </c>
      <c r="AM97">
        <f>INPUT!$B$15</f>
        <v/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>
        <f>IFERROR(VLOOKUP($P$97,INPUT!$A$48:$I$156,7,FALSE),"")</f>
        <v/>
      </c>
      <c r="BE97">
        <f>IFERROR(VLOOKUP($P$97,INPUT!$A$48:$I$156,8,FALSE),"")</f>
        <v/>
      </c>
      <c r="BF97">
        <f>IFERROR(VLOOKUP($P$97,INPUT!$A$48:$I$156,9,FALSE),"")</f>
        <v/>
      </c>
      <c r="BG97">
        <f>IF(TRIM($Q$97)&lt;&gt;"",TRIM($Q$97),TRIM($R$97))</f>
        <v/>
      </c>
    </row>
    <row r="98">
      <c r="A98">
        <f>INPUT!$B$5</f>
        <v/>
      </c>
      <c r="B98" t="inlineStr">
        <is>
          <t>01</t>
        </is>
      </c>
      <c r="C98" t="inlineStr"/>
      <c r="D98" t="inlineStr"/>
      <c r="E98" t="inlineStr"/>
      <c r="F98" t="inlineStr"/>
      <c r="G98">
        <f>INPUT!$B$6</f>
        <v/>
      </c>
      <c r="H98">
        <f>IFERROR(VLOOKUP($P$98,INPUT!$A$48:$I$156,6,FALSE),"")</f>
        <v/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wouldyourather_f02_ii01</t>
        </is>
      </c>
      <c r="Q98">
        <f>IFERROR(VLOOKUP($P$98,INPUT!$A$48:$I$156,4,FALSE),"")</f>
        <v/>
      </c>
      <c r="R98">
        <f>IFERROR(VLOOKUP($P$98,INPUT!$A$48:$I$156,3,FALSE),"")</f>
        <v/>
      </c>
      <c r="S98" t="inlineStr"/>
      <c r="T98" t="inlineStr"/>
      <c r="U98">
        <f>"&lt;aside&gt;&lt;strong&gt;🅰1️⃣"&amp;$H$98&amp;"&lt;/strong&gt;&lt;br&gt;&lt;br&gt;🅰2️⃣___________&lt;br&gt;&lt;br&gt;🅱1️⃣___________&lt;br&gt;&lt;br&gt;🅱2️⃣___________&gt;&lt;/mark&gt;"</f>
        <v/>
      </c>
      <c r="V98" t="inlineStr"/>
      <c r="W98" t="inlineStr"/>
      <c r="X98" t="inlineStr"/>
      <c r="Y98">
        <f>INPUT!$B$7</f>
        <v/>
      </c>
      <c r="Z98">
        <f>INPUT!$B$8</f>
        <v/>
      </c>
      <c r="AA98">
        <f>IFERROR(VLOOKUP($P$98,INPUT!$A$48:$I$156,5,FALSE),"")</f>
        <v/>
      </c>
      <c r="AB98">
        <f>IFERROR(VLOOKUP($AA$98,INPUT!$A$18:$D$24,2,FALSE),"")</f>
        <v/>
      </c>
      <c r="AC98">
        <f>INPUT!$B$9</f>
        <v/>
      </c>
      <c r="AD98" t="inlineStr"/>
      <c r="AE98" t="inlineStr"/>
      <c r="AF98">
        <f>IFERROR(VLOOKUP($AA$98,INPUT!$A$18:$D$24,3,FALSE),"")</f>
        <v/>
      </c>
      <c r="AG98">
        <f>INPUT!$B$10</f>
        <v/>
      </c>
      <c r="AH98">
        <f>IFERROR(VLOOKUP($AA$98,INPUT!$A$18:$D$24,4,FALSE),"")</f>
        <v/>
      </c>
      <c r="AI98">
        <f>INPUT!$B$11</f>
        <v/>
      </c>
      <c r="AJ98">
        <f>INPUT!$B$12</f>
        <v/>
      </c>
      <c r="AK98">
        <f>INPUT!$B$13</f>
        <v/>
      </c>
      <c r="AL98">
        <f>INPUT!$B$14</f>
        <v/>
      </c>
      <c r="AM98">
        <f>INPUT!$B$15</f>
        <v/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>
        <f>IFERROR(VLOOKUP($P$98,INPUT!$A$48:$I$156,7,FALSE),"")</f>
        <v/>
      </c>
      <c r="BE98">
        <f>IFERROR(VLOOKUP($P$98,INPUT!$A$48:$I$156,8,FALSE),"")</f>
        <v/>
      </c>
      <c r="BF98">
        <f>IFERROR(VLOOKUP($P$98,INPUT!$A$48:$I$156,9,FALSE),"")</f>
        <v/>
      </c>
      <c r="BG98">
        <f>IF(TRIM($Q$98)&lt;&gt;"",TRIM($Q$98),TRIM($R$98))</f>
        <v/>
      </c>
    </row>
    <row r="99">
      <c r="A99">
        <f>INPUT!$B$5</f>
        <v/>
      </c>
      <c r="B99" t="inlineStr">
        <is>
          <t>02</t>
        </is>
      </c>
      <c r="C99" t="inlineStr"/>
      <c r="D99" t="inlineStr"/>
      <c r="E99" t="inlineStr"/>
      <c r="F99" t="inlineStr"/>
      <c r="G99">
        <f>INPUT!$B$6</f>
        <v/>
      </c>
      <c r="H99">
        <f>IFERROR(VLOOKUP($P$99,INPUT!$A$48:$I$156,6,FALSE),"")</f>
        <v/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wouldyourather_f02_ii02</t>
        </is>
      </c>
      <c r="Q99">
        <f>IFERROR(VLOOKUP($P$99,INPUT!$A$48:$I$156,4,FALSE),"")</f>
        <v/>
      </c>
      <c r="R99">
        <f>IFERROR(VLOOKUP($P$99,INPUT!$A$48:$I$156,3,FALSE),"")</f>
        <v/>
      </c>
      <c r="S99" t="inlineStr"/>
      <c r="T99" t="inlineStr"/>
      <c r="U99">
        <f>"&lt;aside&gt;🅰1️⃣"&amp;$H$98&amp;"&lt;br&gt;&lt;br&gt;&lt;strong&gt;🅰2️⃣"&amp;$H$99&amp;"&lt;/strong&gt;&lt;br&gt;&lt;br&gt;🅱1️⃣___________&lt;br&gt;&lt;br&gt;🅱2️⃣___________&lt;/mark&gt;"</f>
        <v/>
      </c>
      <c r="V99" t="inlineStr"/>
      <c r="W99" t="inlineStr"/>
      <c r="X99" t="inlineStr"/>
      <c r="Y99">
        <f>INPUT!$B$7</f>
        <v/>
      </c>
      <c r="Z99">
        <f>INPUT!$B$8</f>
        <v/>
      </c>
      <c r="AA99">
        <f>IFERROR(VLOOKUP($P$99,INPUT!$A$48:$I$156,5,FALSE),"")</f>
        <v/>
      </c>
      <c r="AB99">
        <f>IFERROR(VLOOKUP($AA$99,INPUT!$A$18:$D$24,2,FALSE),"")</f>
        <v/>
      </c>
      <c r="AC99">
        <f>INPUT!$B$9</f>
        <v/>
      </c>
      <c r="AD99" t="inlineStr"/>
      <c r="AE99" t="inlineStr"/>
      <c r="AF99">
        <f>IFERROR(VLOOKUP($AA$99,INPUT!$A$18:$D$24,3,FALSE),"")</f>
        <v/>
      </c>
      <c r="AG99">
        <f>INPUT!$B$10</f>
        <v/>
      </c>
      <c r="AH99">
        <f>IFERROR(VLOOKUP($AA$99,INPUT!$A$18:$D$24,4,FALSE),"")</f>
        <v/>
      </c>
      <c r="AI99">
        <f>INPUT!$B$11</f>
        <v/>
      </c>
      <c r="AJ99">
        <f>INPUT!$B$12</f>
        <v/>
      </c>
      <c r="AK99">
        <f>INPUT!$B$13</f>
        <v/>
      </c>
      <c r="AL99">
        <f>INPUT!$B$14</f>
        <v/>
      </c>
      <c r="AM99">
        <f>INPUT!$B$15</f>
        <v/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>
        <f>IFERROR(VLOOKUP($P$99,INPUT!$A$48:$I$156,7,FALSE),"")</f>
        <v/>
      </c>
      <c r="BE99">
        <f>IFERROR(VLOOKUP($P$99,INPUT!$A$48:$I$156,8,FALSE),"")</f>
        <v/>
      </c>
      <c r="BF99">
        <f>IFERROR(VLOOKUP($P$99,INPUT!$A$48:$I$156,9,FALSE),"")</f>
        <v/>
      </c>
      <c r="BG99">
        <f>IF(TRIM($Q$99)&lt;&gt;"",TRIM($Q$99),TRIM($R$99))</f>
        <v/>
      </c>
    </row>
    <row r="100">
      <c r="A100">
        <f>INPUT!$B$5</f>
        <v/>
      </c>
      <c r="B100" t="inlineStr">
        <is>
          <t>03</t>
        </is>
      </c>
      <c r="C100" t="inlineStr"/>
      <c r="D100" t="inlineStr"/>
      <c r="E100" t="inlineStr"/>
      <c r="F100" t="inlineStr"/>
      <c r="G100">
        <f>INPUT!$B$6</f>
        <v/>
      </c>
      <c r="H100">
        <f>IFERROR(VLOOKUP($P$100,INPUT!$A$48:$I$156,6,FALSE),"")</f>
        <v/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wouldyourather_f02_ii03</t>
        </is>
      </c>
      <c r="Q100">
        <f>IFERROR(VLOOKUP($P$100,INPUT!$A$48:$I$156,4,FALSE),"")</f>
        <v/>
      </c>
      <c r="R100">
        <f>IFERROR(VLOOKUP($P$100,INPUT!$A$48:$I$156,3,FALSE),"")</f>
        <v/>
      </c>
      <c r="S100" t="inlineStr"/>
      <c r="T100" t="inlineStr"/>
      <c r="U100">
        <f>"&lt;aside&gt;🅰1️⃣"&amp;$H$98&amp;"&lt;br&gt;&lt;br&gt;🅰2️⃣"&amp;$H$99&amp;"&lt;br&gt;&lt;br&gt;&lt;strong&gt;🅱1️⃣"&amp;$H$100&amp;"&lt;/strong&gt;&lt;br&gt;&lt;br&gt;🅱2️⃣___________&lt;/mark&gt;"</f>
        <v/>
      </c>
      <c r="V100" t="inlineStr"/>
      <c r="W100" t="inlineStr"/>
      <c r="X100" t="inlineStr"/>
      <c r="Y100">
        <f>INPUT!$B$7</f>
        <v/>
      </c>
      <c r="Z100">
        <f>INPUT!$B$8</f>
        <v/>
      </c>
      <c r="AA100">
        <f>IFERROR(VLOOKUP($P$100,INPUT!$A$48:$I$156,5,FALSE),"")</f>
        <v/>
      </c>
      <c r="AB100">
        <f>IFERROR(VLOOKUP($AA$100,INPUT!$A$18:$D$24,2,FALSE),"")</f>
        <v/>
      </c>
      <c r="AC100">
        <f>INPUT!$B$9</f>
        <v/>
      </c>
      <c r="AD100" t="inlineStr"/>
      <c r="AE100" t="inlineStr"/>
      <c r="AF100">
        <f>IFERROR(VLOOKUP($AA$100,INPUT!$A$18:$D$24,3,FALSE),"")</f>
        <v/>
      </c>
      <c r="AG100">
        <f>INPUT!$B$10</f>
        <v/>
      </c>
      <c r="AH100">
        <f>IFERROR(VLOOKUP($AA$100,INPUT!$A$18:$D$24,4,FALSE),"")</f>
        <v/>
      </c>
      <c r="AI100">
        <f>INPUT!$B$11</f>
        <v/>
      </c>
      <c r="AJ100">
        <f>INPUT!$B$12</f>
        <v/>
      </c>
      <c r="AK100">
        <f>INPUT!$B$13</f>
        <v/>
      </c>
      <c r="AL100">
        <f>INPUT!$B$14</f>
        <v/>
      </c>
      <c r="AM100">
        <f>INPUT!$B$15</f>
        <v/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>
        <f>IFERROR(VLOOKUP($P$100,INPUT!$A$48:$I$156,7,FALSE),"")</f>
        <v/>
      </c>
      <c r="BE100">
        <f>IFERROR(VLOOKUP($P$100,INPUT!$A$48:$I$156,8,FALSE),"")</f>
        <v/>
      </c>
      <c r="BF100">
        <f>IFERROR(VLOOKUP($P$100,INPUT!$A$48:$I$156,9,FALSE),"")</f>
        <v/>
      </c>
      <c r="BG100">
        <f>IF(TRIM($Q$100)&lt;&gt;"",TRIM($Q$100),TRIM($R$100))</f>
        <v/>
      </c>
    </row>
    <row r="101">
      <c r="A101">
        <f>INPUT!$B$5</f>
        <v/>
      </c>
      <c r="B101" t="inlineStr">
        <is>
          <t>04</t>
        </is>
      </c>
      <c r="C101" t="inlineStr"/>
      <c r="D101" t="inlineStr"/>
      <c r="E101" t="inlineStr"/>
      <c r="F101" t="inlineStr"/>
      <c r="G101">
        <f>INPUT!$B$6</f>
        <v/>
      </c>
      <c r="H101">
        <f>IFERROR(VLOOKUP($P$101,INPUT!$A$48:$I$156,6,FALSE),"")</f>
        <v/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wouldyourather_f02_ii04</t>
        </is>
      </c>
      <c r="Q101">
        <f>IFERROR(VLOOKUP($P$101,INPUT!$A$48:$I$156,4,FALSE),"")</f>
        <v/>
      </c>
      <c r="R101">
        <f>IFERROR(VLOOKUP($P$101,INPUT!$A$48:$I$156,3,FALSE),"")</f>
        <v/>
      </c>
      <c r="S101" t="inlineStr"/>
      <c r="T101" t="inlineStr"/>
      <c r="U101">
        <f>"&lt;aside&gt;🅰1️⃣"&amp;$H$98&amp;"&lt;br&gt;&lt;br&gt;🅰2️⃣"&amp;$H$99&amp;"&lt;br&gt;&lt;br&gt;🅱1️⃣"&amp;$H$100&amp;"&lt;br&gt;&lt;br&gt;&lt;strong&gt;🅱2️⃣"&amp;$H$101&amp;"&lt;/mark&gt;"</f>
        <v/>
      </c>
      <c r="V101" t="inlineStr"/>
      <c r="W101" t="inlineStr"/>
      <c r="X101" t="inlineStr"/>
      <c r="Y101">
        <f>INPUT!$B$7</f>
        <v/>
      </c>
      <c r="Z101">
        <f>INPUT!$B$8</f>
        <v/>
      </c>
      <c r="AA101">
        <f>IFERROR(VLOOKUP($P$101,INPUT!$A$48:$I$156,5,FALSE),"")</f>
        <v/>
      </c>
      <c r="AB101">
        <f>IFERROR(VLOOKUP($AA$101,INPUT!$A$18:$D$24,2,FALSE),"")</f>
        <v/>
      </c>
      <c r="AC101">
        <f>INPUT!$B$9</f>
        <v/>
      </c>
      <c r="AD101" t="inlineStr"/>
      <c r="AE101" t="inlineStr"/>
      <c r="AF101">
        <f>IFERROR(VLOOKUP($AA$101,INPUT!$A$18:$D$24,3,FALSE),"")</f>
        <v/>
      </c>
      <c r="AG101">
        <f>INPUT!$B$10</f>
        <v/>
      </c>
      <c r="AH101">
        <f>IFERROR(VLOOKUP($AA$101,INPUT!$A$18:$D$24,4,FALSE),"")</f>
        <v/>
      </c>
      <c r="AI101">
        <f>INPUT!$B$11</f>
        <v/>
      </c>
      <c r="AJ101">
        <f>INPUT!$B$12</f>
        <v/>
      </c>
      <c r="AK101">
        <f>INPUT!$B$13</f>
        <v/>
      </c>
      <c r="AL101">
        <f>INPUT!$B$14</f>
        <v/>
      </c>
      <c r="AM101">
        <f>INPUT!$B$15</f>
        <v/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>
        <f>IFERROR(VLOOKUP($P$101,INPUT!$A$48:$I$156,7,FALSE),"")</f>
        <v/>
      </c>
      <c r="BE101">
        <f>IFERROR(VLOOKUP($P$101,INPUT!$A$48:$I$156,8,FALSE),"")</f>
        <v/>
      </c>
      <c r="BF101">
        <f>IFERROR(VLOOKUP($P$101,INPUT!$A$48:$I$156,9,FALSE),"")</f>
        <v/>
      </c>
      <c r="BG101">
        <f>IF(TRIM($Q$101)&lt;&gt;"",TRIM($Q$101),TRIM($R$101))</f>
        <v/>
      </c>
    </row>
    <row r="102">
      <c r="A102">
        <f>INPUT!$B$5</f>
        <v/>
      </c>
      <c r="B102" t="inlineStr">
        <is>
          <t>01</t>
        </is>
      </c>
      <c r="C102" t="inlineStr"/>
      <c r="D102" t="inlineStr"/>
      <c r="E102" t="inlineStr"/>
      <c r="F102" t="inlineStr"/>
      <c r="G102">
        <f>INPUT!$B$6</f>
        <v/>
      </c>
      <c r="H102">
        <f>IFERROR(VLOOKUP($P$102,INPUT!$A$48:$I$156,6,FALSE),"")</f>
        <v/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wouldyourather_f03_i01</t>
        </is>
      </c>
      <c r="Q102">
        <f>IFERROR(VLOOKUP($P$102,INPUT!$A$48:$I$156,4,FALSE),"")</f>
        <v/>
      </c>
      <c r="R102">
        <f>IFERROR(VLOOKUP($P$102,INPUT!$A$48:$I$156,3,FALSE),"")</f>
        <v/>
      </c>
      <c r="S102" t="inlineStr"/>
      <c r="T102" t="inlineStr"/>
      <c r="U102">
        <f>"&lt;aside&gt;&lt;strong&gt;🅰1️⃣"&amp;$H$102&amp;"&lt;/strong&gt;&lt;br&gt;&lt;br&gt;🅰2️⃣___________&lt;br&gt;&lt;br&gt;🅱1️⃣___________&lt;br&gt;&lt;br&gt;🅱2️⃣___________&gt;&lt;/mark&gt;"</f>
        <v/>
      </c>
      <c r="V102" t="inlineStr"/>
      <c r="W102" t="inlineStr"/>
      <c r="X102" t="inlineStr"/>
      <c r="Y102">
        <f>INPUT!$B$7</f>
        <v/>
      </c>
      <c r="Z102">
        <f>INPUT!$B$8</f>
        <v/>
      </c>
      <c r="AA102">
        <f>IFERROR(VLOOKUP($P$102,INPUT!$A$48:$I$156,5,FALSE),"")</f>
        <v/>
      </c>
      <c r="AB102">
        <f>IFERROR(VLOOKUP($AA$102,INPUT!$A$18:$D$24,2,FALSE),"")</f>
        <v/>
      </c>
      <c r="AC102">
        <f>INPUT!$B$9</f>
        <v/>
      </c>
      <c r="AD102" t="inlineStr"/>
      <c r="AE102" t="inlineStr"/>
      <c r="AF102">
        <f>IFERROR(VLOOKUP($AA$102,INPUT!$A$18:$D$24,3,FALSE),"")</f>
        <v/>
      </c>
      <c r="AG102">
        <f>INPUT!$B$10</f>
        <v/>
      </c>
      <c r="AH102">
        <f>IFERROR(VLOOKUP($AA$102,INPUT!$A$18:$D$24,4,FALSE),"")</f>
        <v/>
      </c>
      <c r="AI102">
        <f>INPUT!$B$11</f>
        <v/>
      </c>
      <c r="AJ102">
        <f>INPUT!$B$12</f>
        <v/>
      </c>
      <c r="AK102">
        <f>INPUT!$B$13</f>
        <v/>
      </c>
      <c r="AL102">
        <f>INPUT!$B$14</f>
        <v/>
      </c>
      <c r="AM102">
        <f>INPUT!$B$15</f>
        <v/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>
        <f>IFERROR(VLOOKUP($P$102,INPUT!$A$48:$I$156,7,FALSE),"")</f>
        <v/>
      </c>
      <c r="BE102">
        <f>IFERROR(VLOOKUP($P$102,INPUT!$A$48:$I$156,8,FALSE),"")</f>
        <v/>
      </c>
      <c r="BF102">
        <f>IFERROR(VLOOKUP($P$102,INPUT!$A$48:$I$156,9,FALSE),"")</f>
        <v/>
      </c>
      <c r="BG102">
        <f>IF(TRIM($Q$102)&lt;&gt;"",TRIM($Q$102),TRIM($R$102))</f>
        <v/>
      </c>
    </row>
    <row r="103">
      <c r="A103">
        <f>INPUT!$B$5</f>
        <v/>
      </c>
      <c r="B103" t="inlineStr">
        <is>
          <t>02</t>
        </is>
      </c>
      <c r="C103" t="inlineStr"/>
      <c r="D103" t="inlineStr"/>
      <c r="E103" t="inlineStr"/>
      <c r="F103" t="inlineStr"/>
      <c r="G103">
        <f>INPUT!$B$6</f>
        <v/>
      </c>
      <c r="H103">
        <f>IFERROR(VLOOKUP($P$103,INPUT!$A$48:$I$156,6,FALSE),"")</f>
        <v/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wouldyourather_f03_i02</t>
        </is>
      </c>
      <c r="Q103">
        <f>IFERROR(VLOOKUP($P$103,INPUT!$A$48:$I$156,4,FALSE),"")</f>
        <v/>
      </c>
      <c r="R103">
        <f>IFERROR(VLOOKUP($P$103,INPUT!$A$48:$I$156,3,FALSE),"")</f>
        <v/>
      </c>
      <c r="S103" t="inlineStr"/>
      <c r="T103" t="inlineStr"/>
      <c r="U103">
        <f>"&lt;aside&gt;🅰1️⃣"&amp;$H$102&amp;"&lt;br&gt;&lt;br&gt;&lt;strong&gt;🅰2️⃣"&amp;$H$103&amp;"&lt;/strong&gt;&lt;br&gt;&lt;br&gt;🅱1️⃣___________&lt;br&gt;&lt;br&gt;🅱2️⃣___________&lt;/mark&gt;"</f>
        <v/>
      </c>
      <c r="V103" t="inlineStr"/>
      <c r="W103" t="inlineStr"/>
      <c r="X103" t="inlineStr"/>
      <c r="Y103">
        <f>INPUT!$B$7</f>
        <v/>
      </c>
      <c r="Z103">
        <f>INPUT!$B$8</f>
        <v/>
      </c>
      <c r="AA103">
        <f>IFERROR(VLOOKUP($P$103,INPUT!$A$48:$I$156,5,FALSE),"")</f>
        <v/>
      </c>
      <c r="AB103">
        <f>IFERROR(VLOOKUP($AA$103,INPUT!$A$18:$D$24,2,FALSE),"")</f>
        <v/>
      </c>
      <c r="AC103">
        <f>INPUT!$B$9</f>
        <v/>
      </c>
      <c r="AD103" t="inlineStr"/>
      <c r="AE103" t="inlineStr"/>
      <c r="AF103">
        <f>IFERROR(VLOOKUP($AA$103,INPUT!$A$18:$D$24,3,FALSE),"")</f>
        <v/>
      </c>
      <c r="AG103">
        <f>INPUT!$B$10</f>
        <v/>
      </c>
      <c r="AH103">
        <f>IFERROR(VLOOKUP($AA$103,INPUT!$A$18:$D$24,4,FALSE),"")</f>
        <v/>
      </c>
      <c r="AI103">
        <f>INPUT!$B$11</f>
        <v/>
      </c>
      <c r="AJ103">
        <f>INPUT!$B$12</f>
        <v/>
      </c>
      <c r="AK103">
        <f>INPUT!$B$13</f>
        <v/>
      </c>
      <c r="AL103">
        <f>INPUT!$B$14</f>
        <v/>
      </c>
      <c r="AM103">
        <f>INPUT!$B$15</f>
        <v/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>
        <f>IFERROR(VLOOKUP($P$103,INPUT!$A$48:$I$156,7,FALSE),"")</f>
        <v/>
      </c>
      <c r="BE103">
        <f>IFERROR(VLOOKUP($P$103,INPUT!$A$48:$I$156,8,FALSE),"")</f>
        <v/>
      </c>
      <c r="BF103">
        <f>IFERROR(VLOOKUP($P$103,INPUT!$A$48:$I$156,9,FALSE),"")</f>
        <v/>
      </c>
      <c r="BG103">
        <f>IF(TRIM($Q$103)&lt;&gt;"",TRIM($Q$103),TRIM($R$103))</f>
        <v/>
      </c>
    </row>
    <row r="104">
      <c r="A104">
        <f>INPUT!$B$5</f>
        <v/>
      </c>
      <c r="B104" t="inlineStr">
        <is>
          <t>03</t>
        </is>
      </c>
      <c r="C104" t="inlineStr"/>
      <c r="D104" t="inlineStr"/>
      <c r="E104" t="inlineStr"/>
      <c r="F104" t="inlineStr"/>
      <c r="G104">
        <f>INPUT!$B$6</f>
        <v/>
      </c>
      <c r="H104">
        <f>IFERROR(VLOOKUP($P$104,INPUT!$A$48:$I$156,6,FALSE),"")</f>
        <v/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wouldyourather_f03_i03</t>
        </is>
      </c>
      <c r="Q104">
        <f>IFERROR(VLOOKUP($P$104,INPUT!$A$48:$I$156,4,FALSE),"")</f>
        <v/>
      </c>
      <c r="R104">
        <f>IFERROR(VLOOKUP($P$104,INPUT!$A$48:$I$156,3,FALSE),"")</f>
        <v/>
      </c>
      <c r="S104" t="inlineStr"/>
      <c r="T104" t="inlineStr"/>
      <c r="U104">
        <f>"&lt;aside&gt;🅰1️⃣"&amp;$H$102&amp;"&lt;br&gt;&lt;br&gt;🅰2️⃣"&amp;$H$103&amp;"&lt;br&gt;&lt;br&gt;&lt;strong&gt;🅱1️⃣"&amp;$H$104&amp;"&lt;/strong&gt;&lt;br&gt;&lt;br&gt;🅱2️⃣___________&lt;/mark&gt;"</f>
        <v/>
      </c>
      <c r="V104" t="inlineStr"/>
      <c r="W104" t="inlineStr"/>
      <c r="X104" t="inlineStr"/>
      <c r="Y104">
        <f>INPUT!$B$7</f>
        <v/>
      </c>
      <c r="Z104">
        <f>INPUT!$B$8</f>
        <v/>
      </c>
      <c r="AA104">
        <f>IFERROR(VLOOKUP($P$104,INPUT!$A$48:$I$156,5,FALSE),"")</f>
        <v/>
      </c>
      <c r="AB104">
        <f>IFERROR(VLOOKUP($AA$104,INPUT!$A$18:$D$24,2,FALSE),"")</f>
        <v/>
      </c>
      <c r="AC104">
        <f>INPUT!$B$9</f>
        <v/>
      </c>
      <c r="AD104" t="inlineStr"/>
      <c r="AE104" t="inlineStr"/>
      <c r="AF104">
        <f>IFERROR(VLOOKUP($AA$104,INPUT!$A$18:$D$24,3,FALSE),"")</f>
        <v/>
      </c>
      <c r="AG104">
        <f>INPUT!$B$10</f>
        <v/>
      </c>
      <c r="AH104">
        <f>IFERROR(VLOOKUP($AA$104,INPUT!$A$18:$D$24,4,FALSE),"")</f>
        <v/>
      </c>
      <c r="AI104">
        <f>INPUT!$B$11</f>
        <v/>
      </c>
      <c r="AJ104">
        <f>INPUT!$B$12</f>
        <v/>
      </c>
      <c r="AK104">
        <f>INPUT!$B$13</f>
        <v/>
      </c>
      <c r="AL104">
        <f>INPUT!$B$14</f>
        <v/>
      </c>
      <c r="AM104">
        <f>INPUT!$B$15</f>
        <v/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>
        <f>IFERROR(VLOOKUP($P$104,INPUT!$A$48:$I$156,7,FALSE),"")</f>
        <v/>
      </c>
      <c r="BE104">
        <f>IFERROR(VLOOKUP($P$104,INPUT!$A$48:$I$156,8,FALSE),"")</f>
        <v/>
      </c>
      <c r="BF104">
        <f>IFERROR(VLOOKUP($P$104,INPUT!$A$48:$I$156,9,FALSE),"")</f>
        <v/>
      </c>
      <c r="BG104">
        <f>IF(TRIM($Q$104)&lt;&gt;"",TRIM($Q$104),TRIM($R$104))</f>
        <v/>
      </c>
    </row>
    <row r="105">
      <c r="A105">
        <f>INPUT!$B$5</f>
        <v/>
      </c>
      <c r="B105" t="inlineStr">
        <is>
          <t>04</t>
        </is>
      </c>
      <c r="C105" t="inlineStr"/>
      <c r="D105" t="inlineStr"/>
      <c r="E105" t="inlineStr"/>
      <c r="F105" t="inlineStr"/>
      <c r="G105">
        <f>INPUT!$B$6</f>
        <v/>
      </c>
      <c r="H105">
        <f>IFERROR(VLOOKUP($P$105,INPUT!$A$48:$I$156,6,FALSE),"")</f>
        <v/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wouldyourather_f03_i04</t>
        </is>
      </c>
      <c r="Q105">
        <f>IFERROR(VLOOKUP($P$105,INPUT!$A$48:$I$156,4,FALSE),"")</f>
        <v/>
      </c>
      <c r="R105">
        <f>IFERROR(VLOOKUP($P$105,INPUT!$A$48:$I$156,3,FALSE),"")</f>
        <v/>
      </c>
      <c r="S105" t="inlineStr"/>
      <c r="T105" t="inlineStr"/>
      <c r="U105">
        <f>"&lt;aside&gt;🅰1️⃣"&amp;$H$102&amp;"&lt;br&gt;&lt;br&gt;🅰2️⃣"&amp;$H$103&amp;"&lt;br&gt;&lt;br&gt;🅱1️⃣"&amp;$H$104&amp;"&lt;br&gt;&lt;br&gt;&lt;strong&gt;🅱2️⃣"&amp;$H$105&amp;"&lt;/mark&gt;"</f>
        <v/>
      </c>
      <c r="V105" t="inlineStr"/>
      <c r="W105" t="inlineStr"/>
      <c r="X105" t="inlineStr"/>
      <c r="Y105">
        <f>INPUT!$B$7</f>
        <v/>
      </c>
      <c r="Z105">
        <f>INPUT!$B$8</f>
        <v/>
      </c>
      <c r="AA105">
        <f>IFERROR(VLOOKUP($P$105,INPUT!$A$48:$I$156,5,FALSE),"")</f>
        <v/>
      </c>
      <c r="AB105">
        <f>IFERROR(VLOOKUP($AA$105,INPUT!$A$18:$D$24,2,FALSE),"")</f>
        <v/>
      </c>
      <c r="AC105">
        <f>INPUT!$B$9</f>
        <v/>
      </c>
      <c r="AD105" t="inlineStr"/>
      <c r="AE105" t="inlineStr"/>
      <c r="AF105">
        <f>IFERROR(VLOOKUP($AA$105,INPUT!$A$18:$D$24,3,FALSE),"")</f>
        <v/>
      </c>
      <c r="AG105">
        <f>INPUT!$B$10</f>
        <v/>
      </c>
      <c r="AH105">
        <f>IFERROR(VLOOKUP($AA$105,INPUT!$A$18:$D$24,4,FALSE),"")</f>
        <v/>
      </c>
      <c r="AI105">
        <f>INPUT!$B$11</f>
        <v/>
      </c>
      <c r="AJ105">
        <f>INPUT!$B$12</f>
        <v/>
      </c>
      <c r="AK105">
        <f>INPUT!$B$13</f>
        <v/>
      </c>
      <c r="AL105">
        <f>INPUT!$B$14</f>
        <v/>
      </c>
      <c r="AM105">
        <f>INPUT!$B$15</f>
        <v/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>
        <f>IFERROR(VLOOKUP($P$105,INPUT!$A$48:$I$156,7,FALSE),"")</f>
        <v/>
      </c>
      <c r="BE105">
        <f>IFERROR(VLOOKUP($P$105,INPUT!$A$48:$I$156,8,FALSE),"")</f>
        <v/>
      </c>
      <c r="BF105">
        <f>IFERROR(VLOOKUP($P$105,INPUT!$A$48:$I$156,9,FALSE),"")</f>
        <v/>
      </c>
      <c r="BG105">
        <f>IF(TRIM($Q$105)&lt;&gt;"",TRIM($Q$105),TRIM($R$105))</f>
        <v/>
      </c>
    </row>
    <row r="106">
      <c r="A106">
        <f>INPUT!$B$5</f>
        <v/>
      </c>
      <c r="B106" t="inlineStr">
        <is>
          <t>01</t>
        </is>
      </c>
      <c r="C106" t="inlineStr"/>
      <c r="D106" t="inlineStr"/>
      <c r="E106" t="inlineStr"/>
      <c r="F106" t="inlineStr"/>
      <c r="G106">
        <f>INPUT!$B$6</f>
        <v/>
      </c>
      <c r="H106">
        <f>IFERROR(VLOOKUP($P$106,INPUT!$A$48:$I$156,6,FALSE),"")</f>
        <v/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wouldyourather_f03_ii01</t>
        </is>
      </c>
      <c r="Q106">
        <f>IFERROR(VLOOKUP($P$106,INPUT!$A$48:$I$156,4,FALSE),"")</f>
        <v/>
      </c>
      <c r="R106">
        <f>IFERROR(VLOOKUP($P$106,INPUT!$A$48:$I$156,3,FALSE),"")</f>
        <v/>
      </c>
      <c r="S106" t="inlineStr"/>
      <c r="T106" t="inlineStr"/>
      <c r="U106">
        <f>"&lt;aside&gt;&lt;strong&gt;🅰1️⃣"&amp;$H$106&amp;"&lt;/strong&gt;&lt;br&gt;&lt;br&gt;🅰2️⃣___________&lt;br&gt;&lt;br&gt;🅱1️⃣___________&lt;br&gt;&lt;br&gt;🅱2️⃣___________&gt;&lt;/mark&gt;"</f>
        <v/>
      </c>
      <c r="V106" t="inlineStr"/>
      <c r="W106" t="inlineStr"/>
      <c r="X106" t="inlineStr"/>
      <c r="Y106">
        <f>INPUT!$B$7</f>
        <v/>
      </c>
      <c r="Z106">
        <f>INPUT!$B$8</f>
        <v/>
      </c>
      <c r="AA106">
        <f>IFERROR(VLOOKUP($P$106,INPUT!$A$48:$I$156,5,FALSE),"")</f>
        <v/>
      </c>
      <c r="AB106">
        <f>IFERROR(VLOOKUP($AA$106,INPUT!$A$18:$D$24,2,FALSE),"")</f>
        <v/>
      </c>
      <c r="AC106">
        <f>INPUT!$B$9</f>
        <v/>
      </c>
      <c r="AD106" t="inlineStr"/>
      <c r="AE106" t="inlineStr"/>
      <c r="AF106">
        <f>IFERROR(VLOOKUP($AA$106,INPUT!$A$18:$D$24,3,FALSE),"")</f>
        <v/>
      </c>
      <c r="AG106">
        <f>INPUT!$B$10</f>
        <v/>
      </c>
      <c r="AH106">
        <f>IFERROR(VLOOKUP($AA$106,INPUT!$A$18:$D$24,4,FALSE),"")</f>
        <v/>
      </c>
      <c r="AI106">
        <f>INPUT!$B$11</f>
        <v/>
      </c>
      <c r="AJ106">
        <f>INPUT!$B$12</f>
        <v/>
      </c>
      <c r="AK106">
        <f>INPUT!$B$13</f>
        <v/>
      </c>
      <c r="AL106">
        <f>INPUT!$B$14</f>
        <v/>
      </c>
      <c r="AM106">
        <f>INPUT!$B$15</f>
        <v/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>
        <f>IFERROR(VLOOKUP($P$106,INPUT!$A$48:$I$156,7,FALSE),"")</f>
        <v/>
      </c>
      <c r="BE106">
        <f>IFERROR(VLOOKUP($P$106,INPUT!$A$48:$I$156,8,FALSE),"")</f>
        <v/>
      </c>
      <c r="BF106">
        <f>IFERROR(VLOOKUP($P$106,INPUT!$A$48:$I$156,9,FALSE),"")</f>
        <v/>
      </c>
      <c r="BG106">
        <f>IF(TRIM($Q$106)&lt;&gt;"",TRIM($Q$106),TRIM($R$106))</f>
        <v/>
      </c>
    </row>
    <row r="107">
      <c r="A107">
        <f>INPUT!$B$5</f>
        <v/>
      </c>
      <c r="B107" t="inlineStr">
        <is>
          <t>02</t>
        </is>
      </c>
      <c r="C107" t="inlineStr"/>
      <c r="D107" t="inlineStr"/>
      <c r="E107" t="inlineStr"/>
      <c r="F107" t="inlineStr"/>
      <c r="G107">
        <f>INPUT!$B$6</f>
        <v/>
      </c>
      <c r="H107">
        <f>IFERROR(VLOOKUP($P$107,INPUT!$A$48:$I$156,6,FALSE),"")</f>
        <v/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wouldyourather_f03_ii02</t>
        </is>
      </c>
      <c r="Q107">
        <f>IFERROR(VLOOKUP($P$107,INPUT!$A$48:$I$156,4,FALSE),"")</f>
        <v/>
      </c>
      <c r="R107">
        <f>IFERROR(VLOOKUP($P$107,INPUT!$A$48:$I$156,3,FALSE),"")</f>
        <v/>
      </c>
      <c r="S107" t="inlineStr"/>
      <c r="T107" t="inlineStr"/>
      <c r="U107">
        <f>"&lt;aside&gt;🅰1️⃣"&amp;$H$106&amp;"&lt;br&gt;&lt;br&gt;&lt;strong&gt;🅰2️⃣"&amp;$H$107&amp;"&lt;/strong&gt;&lt;br&gt;&lt;br&gt;🅱1️⃣___________&lt;br&gt;&lt;br&gt;🅱2️⃣___________&lt;/mark&gt;"</f>
        <v/>
      </c>
      <c r="V107" t="inlineStr"/>
      <c r="W107" t="inlineStr"/>
      <c r="X107" t="inlineStr"/>
      <c r="Y107">
        <f>INPUT!$B$7</f>
        <v/>
      </c>
      <c r="Z107">
        <f>INPUT!$B$8</f>
        <v/>
      </c>
      <c r="AA107">
        <f>IFERROR(VLOOKUP($P$107,INPUT!$A$48:$I$156,5,FALSE),"")</f>
        <v/>
      </c>
      <c r="AB107">
        <f>IFERROR(VLOOKUP($AA$107,INPUT!$A$18:$D$24,2,FALSE),"")</f>
        <v/>
      </c>
      <c r="AC107">
        <f>INPUT!$B$9</f>
        <v/>
      </c>
      <c r="AD107" t="inlineStr"/>
      <c r="AE107" t="inlineStr"/>
      <c r="AF107">
        <f>IFERROR(VLOOKUP($AA$107,INPUT!$A$18:$D$24,3,FALSE),"")</f>
        <v/>
      </c>
      <c r="AG107">
        <f>INPUT!$B$10</f>
        <v/>
      </c>
      <c r="AH107">
        <f>IFERROR(VLOOKUP($AA$107,INPUT!$A$18:$D$24,4,FALSE),"")</f>
        <v/>
      </c>
      <c r="AI107">
        <f>INPUT!$B$11</f>
        <v/>
      </c>
      <c r="AJ107">
        <f>INPUT!$B$12</f>
        <v/>
      </c>
      <c r="AK107">
        <f>INPUT!$B$13</f>
        <v/>
      </c>
      <c r="AL107">
        <f>INPUT!$B$14</f>
        <v/>
      </c>
      <c r="AM107">
        <f>INPUT!$B$15</f>
        <v/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>
        <f>IFERROR(VLOOKUP($P$107,INPUT!$A$48:$I$156,7,FALSE),"")</f>
        <v/>
      </c>
      <c r="BE107">
        <f>IFERROR(VLOOKUP($P$107,INPUT!$A$48:$I$156,8,FALSE),"")</f>
        <v/>
      </c>
      <c r="BF107">
        <f>IFERROR(VLOOKUP($P$107,INPUT!$A$48:$I$156,9,FALSE),"")</f>
        <v/>
      </c>
      <c r="BG107">
        <f>IF(TRIM($Q$107)&lt;&gt;"",TRIM($Q$107),TRIM($R$107))</f>
        <v/>
      </c>
    </row>
    <row r="108">
      <c r="A108">
        <f>INPUT!$B$5</f>
        <v/>
      </c>
      <c r="B108" t="inlineStr">
        <is>
          <t>03</t>
        </is>
      </c>
      <c r="C108" t="inlineStr"/>
      <c r="D108" t="inlineStr"/>
      <c r="E108" t="inlineStr"/>
      <c r="F108" t="inlineStr"/>
      <c r="G108">
        <f>INPUT!$B$6</f>
        <v/>
      </c>
      <c r="H108">
        <f>IFERROR(VLOOKUP($P$108,INPUT!$A$48:$I$156,6,FALSE),"")</f>
        <v/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wouldyourather_f03_ii03</t>
        </is>
      </c>
      <c r="Q108">
        <f>IFERROR(VLOOKUP($P$108,INPUT!$A$48:$I$156,4,FALSE),"")</f>
        <v/>
      </c>
      <c r="R108">
        <f>IFERROR(VLOOKUP($P$108,INPUT!$A$48:$I$156,3,FALSE),"")</f>
        <v/>
      </c>
      <c r="S108" t="inlineStr"/>
      <c r="T108" t="inlineStr"/>
      <c r="U108">
        <f>"&lt;aside&gt;🅰1️⃣"&amp;$H$106&amp;"&lt;br&gt;&lt;br&gt;🅰2️⃣"&amp;$H$107&amp;"&lt;br&gt;&lt;br&gt;&lt;strong&gt;🅱1️⃣"&amp;$H$108&amp;"&lt;/strong&gt;&lt;br&gt;&lt;br&gt;🅱2️⃣___________&lt;/mark&gt;"</f>
        <v/>
      </c>
      <c r="V108" t="inlineStr"/>
      <c r="W108" t="inlineStr"/>
      <c r="X108" t="inlineStr"/>
      <c r="Y108">
        <f>INPUT!$B$7</f>
        <v/>
      </c>
      <c r="Z108">
        <f>INPUT!$B$8</f>
        <v/>
      </c>
      <c r="AA108">
        <f>IFERROR(VLOOKUP($P$108,INPUT!$A$48:$I$156,5,FALSE),"")</f>
        <v/>
      </c>
      <c r="AB108">
        <f>IFERROR(VLOOKUP($AA$108,INPUT!$A$18:$D$24,2,FALSE),"")</f>
        <v/>
      </c>
      <c r="AC108">
        <f>INPUT!$B$9</f>
        <v/>
      </c>
      <c r="AD108" t="inlineStr"/>
      <c r="AE108" t="inlineStr"/>
      <c r="AF108">
        <f>IFERROR(VLOOKUP($AA$108,INPUT!$A$18:$D$24,3,FALSE),"")</f>
        <v/>
      </c>
      <c r="AG108">
        <f>INPUT!$B$10</f>
        <v/>
      </c>
      <c r="AH108">
        <f>IFERROR(VLOOKUP($AA$108,INPUT!$A$18:$D$24,4,FALSE),"")</f>
        <v/>
      </c>
      <c r="AI108">
        <f>INPUT!$B$11</f>
        <v/>
      </c>
      <c r="AJ108">
        <f>INPUT!$B$12</f>
        <v/>
      </c>
      <c r="AK108">
        <f>INPUT!$B$13</f>
        <v/>
      </c>
      <c r="AL108">
        <f>INPUT!$B$14</f>
        <v/>
      </c>
      <c r="AM108">
        <f>INPUT!$B$15</f>
        <v/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>
        <f>IFERROR(VLOOKUP($P$108,INPUT!$A$48:$I$156,7,FALSE),"")</f>
        <v/>
      </c>
      <c r="BE108">
        <f>IFERROR(VLOOKUP($P$108,INPUT!$A$48:$I$156,8,FALSE),"")</f>
        <v/>
      </c>
      <c r="BF108">
        <f>IFERROR(VLOOKUP($P$108,INPUT!$A$48:$I$156,9,FALSE),"")</f>
        <v/>
      </c>
      <c r="BG108">
        <f>IF(TRIM($Q$108)&lt;&gt;"",TRIM($Q$108),TRIM($R$108))</f>
        <v/>
      </c>
    </row>
    <row r="109">
      <c r="A109">
        <f>INPUT!$B$5</f>
        <v/>
      </c>
      <c r="B109" t="inlineStr">
        <is>
          <t>04</t>
        </is>
      </c>
      <c r="C109" t="inlineStr"/>
      <c r="D109" t="inlineStr"/>
      <c r="E109" t="inlineStr"/>
      <c r="F109" t="inlineStr"/>
      <c r="G109">
        <f>INPUT!$B$6</f>
        <v/>
      </c>
      <c r="H109">
        <f>IFERROR(VLOOKUP($P$109,INPUT!$A$48:$I$156,6,FALSE),"")</f>
        <v/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wouldyourather_f03_ii04</t>
        </is>
      </c>
      <c r="Q109">
        <f>IFERROR(VLOOKUP($P$109,INPUT!$A$48:$I$156,4,FALSE),"")</f>
        <v/>
      </c>
      <c r="R109">
        <f>IFERROR(VLOOKUP($P$109,INPUT!$A$48:$I$156,3,FALSE),"")</f>
        <v/>
      </c>
      <c r="S109" t="inlineStr"/>
      <c r="T109" t="inlineStr"/>
      <c r="U109">
        <f>"&lt;aside&gt;🅰1️⃣"&amp;$H$106&amp;"&lt;br&gt;&lt;br&gt;🅰2️⃣"&amp;$H$107&amp;"&lt;br&gt;&lt;br&gt;🅱1️⃣"&amp;$H$108&amp;"&lt;br&gt;&lt;br&gt;&lt;strong&gt;🅱2️⃣"&amp;$H$109&amp;"&lt;/mark&gt;"</f>
        <v/>
      </c>
      <c r="V109" t="inlineStr"/>
      <c r="W109" t="inlineStr"/>
      <c r="X109" t="inlineStr"/>
      <c r="Y109">
        <f>INPUT!$B$7</f>
        <v/>
      </c>
      <c r="Z109">
        <f>INPUT!$B$8</f>
        <v/>
      </c>
      <c r="AA109">
        <f>IFERROR(VLOOKUP($P$109,INPUT!$A$48:$I$156,5,FALSE),"")</f>
        <v/>
      </c>
      <c r="AB109">
        <f>IFERROR(VLOOKUP($AA$109,INPUT!$A$18:$D$24,2,FALSE),"")</f>
        <v/>
      </c>
      <c r="AC109">
        <f>INPUT!$B$9</f>
        <v/>
      </c>
      <c r="AD109" t="inlineStr"/>
      <c r="AE109" t="inlineStr"/>
      <c r="AF109">
        <f>IFERROR(VLOOKUP($AA$109,INPUT!$A$18:$D$24,3,FALSE),"")</f>
        <v/>
      </c>
      <c r="AG109">
        <f>INPUT!$B$10</f>
        <v/>
      </c>
      <c r="AH109">
        <f>IFERROR(VLOOKUP($AA$109,INPUT!$A$18:$D$24,4,FALSE),"")</f>
        <v/>
      </c>
      <c r="AI109">
        <f>INPUT!$B$11</f>
        <v/>
      </c>
      <c r="AJ109">
        <f>INPUT!$B$12</f>
        <v/>
      </c>
      <c r="AK109">
        <f>INPUT!$B$13</f>
        <v/>
      </c>
      <c r="AL109">
        <f>INPUT!$B$14</f>
        <v/>
      </c>
      <c r="AM109">
        <f>INPUT!$B$15</f>
        <v/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>
        <f>IFERROR(VLOOKUP($P$109,INPUT!$A$48:$I$156,7,FALSE),"")</f>
        <v/>
      </c>
      <c r="BE109">
        <f>IFERROR(VLOOKUP($P$109,INPUT!$A$48:$I$156,8,FALSE),"")</f>
        <v/>
      </c>
      <c r="BF109">
        <f>IFERROR(VLOOKUP($P$109,INPUT!$A$48:$I$156,9,FALSE),"")</f>
        <v/>
      </c>
      <c r="BG109">
        <f>IF(TRIM($Q$109)&lt;&gt;"",TRIM($Q$109),TRIM($R$109))</f>
        <v/>
      </c>
    </row>
  </sheetData>
  <autoFilter ref="A1:BG109"/>
  <conditionalFormatting sqref="A2:BG109">
    <cfRule type="cellIs" priority="1" operator="equal" dxfId="0">
      <formula>""</formula>
    </cfRule>
  </conditionalFormatting>
  <dataValidations count="1">
    <dataValidation sqref="B2:B109" showDropDown="0" showInputMessage="0" showErrorMessage="0" allowBlank="0" error="Order must be 1-4 within its step." type="whole" operator="between">
      <formula1>1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C230"/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2" customWidth="1" min="3" max="3"/>
    <col width="22" customWidth="1" min="4" max="4"/>
    <col width="16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 ht="45" customHeight="1">
      <c r="A1" s="3" t="inlineStr">
        <is>
          <t>INPUT — the ONLY sheet to edit. Every unique text value lives here once; MAIN is formulas. To add takes, append rows to the takes table, then append matching MAIN rows reusing the neighboring formulas. Never edit the exported CSV: it carries values only, which is how the formulas were lost.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globals — one value used file-wide (MAIN references the cell)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key</t>
        </is>
      </c>
      <c r="B4" s="5" t="inlineStr">
        <is>
          <t>value</t>
        </is>
      </c>
      <c r="C4" s="3" t="n"/>
      <c r="D4" s="3" t="n"/>
      <c r="E4" s="3" t="n"/>
      <c r="F4" s="3" t="n"/>
      <c r="G4" s="3" t="n"/>
      <c r="H4" s="3" t="n"/>
      <c r="I4" s="3" t="n"/>
    </row>
    <row r="5">
      <c r="A5" s="3" t="inlineStr">
        <is>
          <t>title_text</t>
        </is>
      </c>
      <c r="B5" s="3" t="inlineStr">
        <is>
          <t>Preferences in English&lt;br&gt;A1➡B2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inlineStr">
        <is>
          <t>character</t>
        </is>
      </c>
      <c r="B6" s="3" t="inlineStr">
        <is>
          <t>CasualTeacher</t>
        </is>
      </c>
      <c r="C6" s="3" t="n"/>
      <c r="D6" s="3" t="n"/>
      <c r="E6" s="3" t="n"/>
      <c r="F6" s="3" t="n"/>
      <c r="G6" s="3" t="n"/>
      <c r="H6" s="3" t="n"/>
      <c r="I6" s="3" t="n"/>
    </row>
    <row r="7">
      <c r="A7" s="3" t="inlineStr">
        <is>
          <t>course_id</t>
        </is>
      </c>
      <c r="B7" s="3" t="inlineStr">
        <is>
          <t>wouldyourather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3" t="inlineStr">
        <is>
          <t>course_name</t>
        </is>
      </c>
      <c r="B8" s="3" t="inlineStr">
        <is>
          <t>Preferences in English A1➡B2</t>
        </is>
      </c>
      <c r="C8" s="3" t="n"/>
      <c r="D8" s="3" t="n"/>
      <c r="E8" s="3" t="n"/>
      <c r="F8" s="3" t="n"/>
      <c r="G8" s="3" t="n"/>
      <c r="H8" s="3" t="n"/>
      <c r="I8" s="3" t="n"/>
    </row>
    <row r="9">
      <c r="A9" s="3" t="inlineStr">
        <is>
          <t>response_type</t>
        </is>
      </c>
      <c r="B9" s="3" t="inlineStr">
        <is>
          <t>friendClosedResponse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3" t="inlineStr">
        <is>
          <t>recap_overlay</t>
        </is>
      </c>
      <c r="B10" s="3" t="inlineStr">
        <is>
          <t>shareCta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A11" s="3" t="inlineStr">
        <is>
          <t>success_video</t>
        </is>
      </c>
      <c r="B11" s="3" t="inlineStr">
        <is>
          <t>success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A12" s="3" t="inlineStr">
        <is>
          <t>success_srt</t>
        </is>
      </c>
      <c r="B12" s="3" t="inlineStr">
        <is>
          <t>1
00:00:00,000 --&gt; 00:00:06,180
Great, you're almost done. Now your shareable video is going to be magically
2
00:00:06,180 --&gt; 00:00:11,300
created right in front of your eyes. Just wait for the video to finish then
3
00:00:11,300 --&gt; 00:00:14,880
share it with your friends, family and colleagues so they can reply to you.
4
00:00:14,880 --&gt; 00:00:20,580
They'll also be able to prompt you to speak. Remember to share with a lot of
5
00:00:20,580 --&gt; 00:00:25,480
people to get more chances to practice the next 48 hours before the video is deleted.
6
00:00:25,480 --&gt; 00:00:31,320
So press the button below to create the video, wait for it to finish, then share.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A13" s="3" t="inlineStr">
        <is>
          <t>success_srt_es</t>
        </is>
      </c>
      <c r="B13" s="3" t="inlineStr">
        <is>
          <t>1
00:00:00,000 --&gt; 00:00:06,180
Genial, ya casi terminas. Ahora tu video para compartir se creará mágicamente
2
00:00:06,180 --&gt; 00:00:11,300
justo delante de tus ojos. Solo espera a que el video termine y luego
3
00:00:11,300 --&gt; 00:00:14,880
compártelo con tus amigos, familiares y colegas para que puedan responderte.
4
00:00:14,880 --&gt; 00:00:20,580
También podrán animarte a hablar. Recuerda compartir con muchas
5
00:00:20,580 --&gt; 00:00:25,480
personas para tener más oportunidades de practicar durante las próximas 48 horas antes de que el video se elimine.
6
00:00:25,480 --&gt; 00:00:31,320
Así que oprime el botón de abajo para crear el video, espera a que termine y luego compártelo.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A14" s="3" t="inlineStr">
        <is>
          <t>success_srt_pt</t>
        </is>
      </c>
      <c r="B14" s="3" t="inlineStr">
        <is>
          <t>1
00:00:00,000 --&gt; 00:00:06,180
Ótimo, você está quase terminando. Agora seu vídeo para compartilhar será criado magicamente
2
00:00:06,180 --&gt; 00:00:11,300
bem diante dos seus olhos. Apenas espere o vídeo terminar e então
3
00:00:11,300 --&gt; 00:00:14,880
compartilhe-o com seus amigos, familiares e colegas para que eles possam responder a você.
4
00:00:14,880 --&gt; 00:00:20,580
Eles também poderão incentivar você a falar. Lembre-se de compartilhar com muitas
5
00:00:20,580 --&gt; 00:00:25,480
pessoas para ter mais chances de praticar nas próximas 48 horas antes que o vídeo seja excluído.
6
00:00:25,480 --&gt; 00:00:31,320
Então pressione o botão abaixo para criar o vídeo, espere ele terminar e depois compartilhe.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A15" s="3" t="inlineStr">
        <is>
          <t>success_srt_bn</t>
        </is>
      </c>
      <c r="B15" s="3" t="inlineStr">
        <is>
          <t>1
00:00:00,000 --&gt; 00:00:06,180
দুর্দান্ত, আপনি প্রায় শেষ। এখন আপনার শেয়ারযোগ্য ভিডিওটি জাদুর মতো তৈরি হবে
2
00:00:06,180 --&gt; 00:00:11,300
আপনার চোখের সামনেই। শুধু ভিডিওটি শেষ হওয়ার জন্য অপেক্ষা করুন তারপর
3
00:00:11,300 --&gt; 00:00:14,880
এটি আপনার বন্ধু, পরিবার এবং সহকর্মীদের সাথে শেয়ার করুন যাতে তারা আপনাকে উত্তর দিতে পারে।
4
00:00:14,880 --&gt; 00:00:20,580
তারা আপনাকে কথা বলতে উৎসাহিতও করতে পারবে। অনেকের সাথে শেয়ার করতে মনে রাখবেন
5
00:00:20,580 --&gt; 00:00:25,480
যাতে ভিডিওটি মুছে ফেলার আগে পরবর্তী ৪৮ ঘণ্টায় অনুশীলনের আরও সুযোগ পায়।
6
00:00:25,480 --&gt; 00:00:31,320
তাই ভিডিও তৈরি করতে নিচের বোতামটি চাপুন, এটি শেষ হওয়ার জন্য অপেক্ষা করুন, তারপর শেয়ার করুন।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4" t="inlineStr">
        <is>
          <t>lessons — one row per lesson_id (MAIN VLOOKUPs by lesson_id)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5" t="inlineStr">
        <is>
          <t>lesson_id</t>
        </is>
      </c>
      <c r="B18" s="5" t="inlineStr">
        <is>
          <t>lesson_title</t>
        </is>
      </c>
      <c r="C18" s="5" t="inlineStr">
        <is>
          <t>recap_sources</t>
        </is>
      </c>
      <c r="D18" s="5" t="inlineStr">
        <is>
          <t>intro_video</t>
        </is>
      </c>
      <c r="E18" s="3" t="n"/>
      <c r="F18" s="3" t="n"/>
      <c r="G18" s="3" t="n"/>
      <c r="H18" s="3" t="n"/>
      <c r="I18" s="3" t="n"/>
    </row>
    <row r="19">
      <c r="A19" s="3" t="inlineStr">
        <is>
          <t>a</t>
        </is>
      </c>
      <c r="B19" s="3" t="inlineStr">
        <is>
          <t>Ask: money vs. time, food vs. talk, beach vs. mountains</t>
        </is>
      </c>
      <c r="C19" s="3" t="inlineStr">
        <is>
          <t>none</t>
        </is>
      </c>
      <c r="D19" s="3" t="inlineStr">
        <is>
          <t>intro</t>
        </is>
      </c>
      <c r="E19" s="3" t="n"/>
      <c r="F19" s="3" t="n"/>
      <c r="G19" s="3" t="n"/>
      <c r="H19" s="3" t="n"/>
      <c r="I19" s="3" t="n"/>
    </row>
    <row r="20">
      <c r="A20" s="3" t="inlineStr">
        <is>
          <t>b</t>
        </is>
      </c>
      <c r="B20" s="3" t="inlineStr">
        <is>
          <t>Answer: money vs. time, food vs. talk, beach vs. mountains</t>
        </is>
      </c>
      <c r="C20" s="3" t="inlineStr">
        <is>
          <t>friend</t>
        </is>
      </c>
      <c r="D20" s="3" t="inlineStr">
        <is>
          <t>{friendCode}wouldyourather-a-response-01</t>
        </is>
      </c>
      <c r="E20" s="3" t="n"/>
      <c r="F20" s="3" t="n"/>
      <c r="G20" s="3" t="n"/>
      <c r="H20" s="3" t="n"/>
      <c r="I20" s="3" t="n"/>
    </row>
    <row r="21">
      <c r="A21" s="3" t="inlineStr">
        <is>
          <t>c</t>
        </is>
      </c>
      <c r="B21" s="3" t="inlineStr">
        <is>
          <t>Ask: rich vs. free, cook vs. restaurant, alone vs. friends</t>
        </is>
      </c>
      <c r="C21" s="3" t="inlineStr">
        <is>
          <t>none</t>
        </is>
      </c>
      <c r="D21" s="3" t="inlineStr">
        <is>
          <t>{friendCode}wouldyourather-b-response-04</t>
        </is>
      </c>
      <c r="E21" s="3" t="n"/>
      <c r="F21" s="3" t="n"/>
      <c r="G21" s="3" t="n"/>
      <c r="H21" s="3" t="n"/>
      <c r="I21" s="3" t="n"/>
    </row>
    <row r="22">
      <c r="A22" s="3" t="inlineStr">
        <is>
          <t>d</t>
        </is>
      </c>
      <c r="B22" s="3" t="inlineStr">
        <is>
          <t>Answer: rich vs. free, cook vs. restaurant, alone vs. friends</t>
        </is>
      </c>
      <c r="C22" s="3" t="inlineStr">
        <is>
          <t>friend</t>
        </is>
      </c>
      <c r="D22" s="3" t="inlineStr">
        <is>
          <t>{friendCode}wouldyourather-c-response-04</t>
        </is>
      </c>
      <c r="E22" s="3" t="n"/>
      <c r="F22" s="3" t="n"/>
      <c r="G22" s="3" t="n"/>
      <c r="H22" s="3" t="n"/>
      <c r="I22" s="3" t="n"/>
    </row>
    <row r="23">
      <c r="A23" s="3" t="inlineStr">
        <is>
          <t>e</t>
        </is>
      </c>
      <c r="B23" s="3" t="inlineStr">
        <is>
          <t>Ask: time vs. money, sweet vs. salty, home vs. out</t>
        </is>
      </c>
      <c r="C23" s="3" t="inlineStr">
        <is>
          <t>none</t>
        </is>
      </c>
      <c r="D23" s="3" t="inlineStr">
        <is>
          <t>{friendCode}wouldyourather-d-response-04</t>
        </is>
      </c>
      <c r="E23" s="3" t="n"/>
      <c r="F23" s="3" t="n"/>
      <c r="G23" s="3" t="n"/>
      <c r="H23" s="3" t="n"/>
      <c r="I23" s="3" t="n"/>
    </row>
    <row r="24">
      <c r="A24" s="3" t="inlineStr">
        <is>
          <t>f</t>
        </is>
      </c>
      <c r="B24" s="3" t="inlineStr">
        <is>
          <t>Answer: time vs. money, sweet vs. salty, home vs. out</t>
        </is>
      </c>
      <c r="C24" s="3" t="inlineStr">
        <is>
          <t>friend</t>
        </is>
      </c>
      <c r="D24" s="3" t="inlineStr">
        <is>
          <t>{friendCode}wouldyourather-e-response-04</t>
        </is>
      </c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4" t="inlineStr">
        <is>
          <t>steps — one row per step (join else video_file; MAIN VLOOKUPs by _step)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5" t="inlineStr">
        <is>
          <t>step_key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inlineStr">
        <is>
          <t>wouldyourather_a01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inlineStr">
        <is>
          <t>wouldyourather_a02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inlineStr">
        <is>
          <t>wouldyourather_a03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inlineStr">
        <is>
          <t>wouldyourather_b01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inlineStr">
        <is>
          <t>wouldyourather_b02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inlineStr">
        <is>
          <t>wouldyourather_b03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inlineStr">
        <is>
          <t>wouldyourather_c01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inlineStr">
        <is>
          <t>wouldyourather_c02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inlineStr">
        <is>
          <t>wouldyourather_c03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inlineStr">
        <is>
          <t>wouldyourather_d01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inlineStr">
        <is>
          <t>wouldyourather_d02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inlineStr">
        <is>
          <t>wouldyourather_d03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inlineStr">
        <is>
          <t>wouldyourather_e01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inlineStr">
        <is>
          <t>wouldyourather_e02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inlineStr">
        <is>
          <t>wouldyourather_e03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inlineStr">
        <is>
          <t>wouldyourather_f01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inlineStr">
        <is>
          <t>wouldyourather_f02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inlineStr">
        <is>
          <t>wouldyourather_f03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4" t="inlineStr">
        <is>
          <t>takes — one row per filename; the phrase source of truth (MAIN VLOOKUPs phrase* by filename; subtitle formulas point at MAIN phrase cells)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5" t="inlineStr">
        <is>
          <t>filename</t>
        </is>
      </c>
      <c r="B48" s="5" t="inlineStr">
        <is>
          <t>order</t>
        </is>
      </c>
      <c r="C48" s="5" t="inlineStr">
        <is>
          <t>video_file</t>
        </is>
      </c>
      <c r="D48" s="5" t="inlineStr">
        <is>
          <t>join</t>
        </is>
      </c>
      <c r="E48" s="5" t="inlineStr">
        <is>
          <t>lesson_id</t>
        </is>
      </c>
      <c r="F48" s="5" t="inlineStr">
        <is>
          <t>phrase</t>
        </is>
      </c>
      <c r="G48" s="5" t="inlineStr">
        <is>
          <t>phrase_es</t>
        </is>
      </c>
      <c r="H48" s="5" t="inlineStr">
        <is>
          <t>phrase_pt</t>
        </is>
      </c>
      <c r="I48" s="5" t="inlineStr">
        <is>
          <t>phrase_bn</t>
        </is>
      </c>
    </row>
    <row r="49">
      <c r="A49" s="3" t="inlineStr">
        <is>
          <t>wouldyourather_a0101</t>
        </is>
      </c>
      <c r="B49" s="3" t="inlineStr">
        <is>
          <t>01</t>
        </is>
      </c>
      <c r="C49" s="3" t="inlineStr">
        <is>
          <t>wouldyourather_a01</t>
        </is>
      </c>
      <c r="D49" s="3" t="inlineStr"/>
      <c r="E49" s="3" t="inlineStr">
        <is>
          <t>a</t>
        </is>
      </c>
      <c r="F49" s="3" t="inlineStr">
        <is>
          <t>A million dollars today or five million dollars in five years?</t>
        </is>
      </c>
      <c r="G49" s="3" t="inlineStr"/>
      <c r="H49" s="3" t="inlineStr"/>
      <c r="I49" s="3" t="inlineStr"/>
    </row>
    <row r="50">
      <c r="A50" s="3" t="inlineStr">
        <is>
          <t>wouldyourather_a0102</t>
        </is>
      </c>
      <c r="B50" s="3" t="inlineStr">
        <is>
          <t>02</t>
        </is>
      </c>
      <c r="C50" s="3" t="inlineStr">
        <is>
          <t>wouldyourather_a01</t>
        </is>
      </c>
      <c r="D50" s="3" t="inlineStr"/>
      <c r="E50" s="3" t="inlineStr">
        <is>
          <t>a</t>
        </is>
      </c>
      <c r="F50" s="3" t="inlineStr">
        <is>
          <t>Is it better to a million dollars today or five million dollars in five years?</t>
        </is>
      </c>
      <c r="G50" s="3" t="inlineStr"/>
      <c r="H50" s="3" t="inlineStr"/>
      <c r="I50" s="3" t="inlineStr"/>
    </row>
    <row r="51">
      <c r="A51" s="3" t="inlineStr">
        <is>
          <t>wouldyourather_a0103</t>
        </is>
      </c>
      <c r="B51" s="3" t="inlineStr">
        <is>
          <t>03</t>
        </is>
      </c>
      <c r="C51" s="3" t="inlineStr">
        <is>
          <t>wouldyourather_a01</t>
        </is>
      </c>
      <c r="D51" s="3" t="inlineStr"/>
      <c r="E51" s="3" t="inlineStr">
        <is>
          <t>a</t>
        </is>
      </c>
      <c r="F51" s="3" t="inlineStr">
        <is>
          <t>Would you rather receive a million dollars today or wait five years and receive five million dollars instead?</t>
        </is>
      </c>
      <c r="G51" s="3" t="inlineStr"/>
      <c r="H51" s="3" t="inlineStr"/>
      <c r="I51" s="3" t="inlineStr"/>
    </row>
    <row r="52">
      <c r="A52" s="3" t="inlineStr">
        <is>
          <t>wouldyourather_a0104</t>
        </is>
      </c>
      <c r="B52" s="3" t="inlineStr">
        <is>
          <t>04</t>
        </is>
      </c>
      <c r="C52" s="3" t="inlineStr">
        <is>
          <t>wouldyourather_a01</t>
        </is>
      </c>
      <c r="D52" s="3" t="inlineStr"/>
      <c r="E52" s="3" t="inlineStr">
        <is>
          <t>a</t>
        </is>
      </c>
      <c r="F52" s="3" t="inlineStr">
        <is>
          <t>Given the choice between accepting a million dollars today and waiting five years for five million dollars, Is it better to do?</t>
        </is>
      </c>
      <c r="G52" s="3" t="inlineStr"/>
      <c r="H52" s="3" t="inlineStr"/>
      <c r="I52" s="3" t="inlineStr"/>
    </row>
    <row r="53">
      <c r="A53" s="3" t="inlineStr">
        <is>
          <t>wouldyourather_a0201</t>
        </is>
      </c>
      <c r="B53" s="3" t="inlineStr">
        <is>
          <t>01</t>
        </is>
      </c>
      <c r="C53" s="3" t="inlineStr">
        <is>
          <t>wouldyourather_a02</t>
        </is>
      </c>
      <c r="D53" s="3" t="inlineStr"/>
      <c r="E53" s="3" t="inlineStr">
        <is>
          <t>a</t>
        </is>
      </c>
      <c r="F53" s="3" t="inlineStr">
        <is>
          <t>A meal with great food or a meal with great conversation?</t>
        </is>
      </c>
      <c r="G53" s="3" t="inlineStr"/>
      <c r="H53" s="3" t="inlineStr"/>
      <c r="I53" s="3" t="inlineStr"/>
    </row>
    <row r="54">
      <c r="A54" s="3" t="inlineStr">
        <is>
          <t>wouldyourather_a0202</t>
        </is>
      </c>
      <c r="B54" s="3" t="inlineStr">
        <is>
          <t>02</t>
        </is>
      </c>
      <c r="C54" s="3" t="inlineStr">
        <is>
          <t>wouldyourather_a02</t>
        </is>
      </c>
      <c r="D54" s="3" t="inlineStr"/>
      <c r="E54" s="3" t="inlineStr">
        <is>
          <t>a</t>
        </is>
      </c>
      <c r="F54" s="3" t="inlineStr">
        <is>
          <t>Is it better to a meal with great food or a meal with great conversation?</t>
        </is>
      </c>
      <c r="G54" s="3" t="inlineStr"/>
      <c r="H54" s="3" t="inlineStr"/>
      <c r="I54" s="3" t="inlineStr"/>
    </row>
    <row r="55">
      <c r="A55" s="3" t="inlineStr">
        <is>
          <t>wouldyourather_a0203</t>
        </is>
      </c>
      <c r="B55" s="3" t="inlineStr">
        <is>
          <t>03</t>
        </is>
      </c>
      <c r="C55" s="3" t="inlineStr">
        <is>
          <t>wouldyourather_a02</t>
        </is>
      </c>
      <c r="D55" s="3" t="inlineStr"/>
      <c r="E55" s="3" t="inlineStr">
        <is>
          <t>a</t>
        </is>
      </c>
      <c r="F55" s="3" t="inlineStr">
        <is>
          <t>Would you rather have a meal with great food or have a meal with great conversation instead?</t>
        </is>
      </c>
      <c r="G55" s="3" t="inlineStr"/>
      <c r="H55" s="3" t="inlineStr"/>
      <c r="I55" s="3" t="inlineStr"/>
    </row>
    <row r="56">
      <c r="A56" s="3" t="inlineStr">
        <is>
          <t>wouldyourather_a0204</t>
        </is>
      </c>
      <c r="B56" s="3" t="inlineStr">
        <is>
          <t>04</t>
        </is>
      </c>
      <c r="C56" s="3" t="inlineStr">
        <is>
          <t>wouldyourather_a02</t>
        </is>
      </c>
      <c r="D56" s="3" t="inlineStr"/>
      <c r="E56" s="3" t="inlineStr">
        <is>
          <t>a</t>
        </is>
      </c>
      <c r="F56" s="3" t="inlineStr">
        <is>
          <t>Given the choice between having a meal with great food and having a meal with great conversation, Is it better to have?</t>
        </is>
      </c>
      <c r="G56" s="3" t="inlineStr"/>
      <c r="H56" s="3" t="inlineStr"/>
      <c r="I56" s="3" t="inlineStr"/>
    </row>
    <row r="57">
      <c r="A57" s="3" t="inlineStr">
        <is>
          <t>wouldyourather_a0301</t>
        </is>
      </c>
      <c r="B57" s="3" t="inlineStr">
        <is>
          <t>01</t>
        </is>
      </c>
      <c r="C57" s="3" t="inlineStr">
        <is>
          <t>wouldyourather_a03</t>
        </is>
      </c>
      <c r="D57" s="3" t="inlineStr"/>
      <c r="E57" s="3" t="inlineStr">
        <is>
          <t>a</t>
        </is>
      </c>
      <c r="F57" s="3" t="inlineStr">
        <is>
          <t>A short beach vacation with great weather or a long beach vacation with bad weather?</t>
        </is>
      </c>
      <c r="G57" s="3" t="inlineStr"/>
      <c r="H57" s="3" t="inlineStr"/>
      <c r="I57" s="3" t="inlineStr"/>
    </row>
    <row r="58">
      <c r="A58" s="3" t="inlineStr">
        <is>
          <t>wouldyourather_a0302</t>
        </is>
      </c>
      <c r="B58" s="3" t="inlineStr">
        <is>
          <t>02</t>
        </is>
      </c>
      <c r="C58" s="3" t="inlineStr">
        <is>
          <t>wouldyourather_a03</t>
        </is>
      </c>
      <c r="D58" s="3" t="inlineStr"/>
      <c r="E58" s="3" t="inlineStr">
        <is>
          <t>a</t>
        </is>
      </c>
      <c r="F58" s="3" t="inlineStr">
        <is>
          <t>Is it better to a short beach vacation with great weather or a long beach vacation with bad weather?</t>
        </is>
      </c>
      <c r="G58" s="3" t="inlineStr"/>
      <c r="H58" s="3" t="inlineStr"/>
      <c r="I58" s="3" t="inlineStr"/>
    </row>
    <row r="59">
      <c r="A59" s="3" t="inlineStr">
        <is>
          <t>wouldyourather_a0303</t>
        </is>
      </c>
      <c r="B59" s="3" t="inlineStr">
        <is>
          <t>03</t>
        </is>
      </c>
      <c r="C59" s="3" t="inlineStr">
        <is>
          <t>wouldyourather_a03</t>
        </is>
      </c>
      <c r="D59" s="3" t="inlineStr"/>
      <c r="E59" s="3" t="inlineStr">
        <is>
          <t>a</t>
        </is>
      </c>
      <c r="F59" s="3" t="inlineStr">
        <is>
          <t>Would you rather go on a beach vacation that's short with great weather or one that's long but with bad weather?</t>
        </is>
      </c>
      <c r="G59" s="3" t="inlineStr"/>
      <c r="H59" s="3" t="inlineStr"/>
      <c r="I59" s="3" t="inlineStr"/>
    </row>
    <row r="60">
      <c r="A60" s="3" t="inlineStr">
        <is>
          <t>wouldyourather_a0304</t>
        </is>
      </c>
      <c r="B60" s="3" t="inlineStr">
        <is>
          <t>04</t>
        </is>
      </c>
      <c r="C60" s="3" t="inlineStr">
        <is>
          <t>wouldyourather_a03</t>
        </is>
      </c>
      <c r="D60" s="3" t="inlineStr"/>
      <c r="E60" s="3" t="inlineStr">
        <is>
          <t>a</t>
        </is>
      </c>
      <c r="F60" s="3" t="inlineStr">
        <is>
          <t>Given the choice between a short beach vacation with great weather and a long one with bad weather, Is it better to go on?</t>
        </is>
      </c>
      <c r="G60" s="3" t="inlineStr"/>
      <c r="H60" s="3" t="inlineStr"/>
      <c r="I60" s="3" t="inlineStr"/>
    </row>
    <row r="61">
      <c r="A61" s="3" t="inlineStr">
        <is>
          <t>wouldyourather_b01_i01</t>
        </is>
      </c>
      <c r="B61" s="3" t="inlineStr">
        <is>
          <t>01</t>
        </is>
      </c>
      <c r="C61" s="3" t="inlineStr">
        <is>
          <t>wouldyourather_b01_i</t>
        </is>
      </c>
      <c r="D61" s="3" t="inlineStr">
        <is>
          <t>wouldyourather_b01</t>
        </is>
      </c>
      <c r="E61" s="3" t="inlineStr">
        <is>
          <t>b</t>
        </is>
      </c>
      <c r="F61" s="3" t="inlineStr">
        <is>
          <t>A million dollars today.</t>
        </is>
      </c>
      <c r="G61" s="3" t="inlineStr"/>
      <c r="H61" s="3" t="inlineStr"/>
      <c r="I61" s="3" t="inlineStr"/>
    </row>
    <row r="62">
      <c r="A62" s="3" t="inlineStr">
        <is>
          <t>wouldyourather_b01_i02</t>
        </is>
      </c>
      <c r="B62" s="3" t="inlineStr">
        <is>
          <t>02</t>
        </is>
      </c>
      <c r="C62" s="3" t="inlineStr">
        <is>
          <t>wouldyourather_b01_i</t>
        </is>
      </c>
      <c r="D62" s="3" t="inlineStr">
        <is>
          <t>wouldyourather_b01</t>
        </is>
      </c>
      <c r="E62" s="3" t="inlineStr">
        <is>
          <t>b</t>
        </is>
      </c>
      <c r="F62" s="3" t="inlineStr">
        <is>
          <t>I would rather a million dollars today.</t>
        </is>
      </c>
      <c r="G62" s="3" t="inlineStr"/>
      <c r="H62" s="3" t="inlineStr"/>
      <c r="I62" s="3" t="inlineStr"/>
    </row>
    <row r="63">
      <c r="A63" s="3" t="inlineStr">
        <is>
          <t>wouldyourather_b01_i03</t>
        </is>
      </c>
      <c r="B63" s="3" t="inlineStr">
        <is>
          <t>03</t>
        </is>
      </c>
      <c r="C63" s="3" t="inlineStr">
        <is>
          <t>wouldyourather_b01_i</t>
        </is>
      </c>
      <c r="D63" s="3" t="inlineStr">
        <is>
          <t>wouldyourather_b01</t>
        </is>
      </c>
      <c r="E63" s="3" t="inlineStr">
        <is>
          <t>b</t>
        </is>
      </c>
      <c r="F63" s="3" t="inlineStr">
        <is>
          <t>I would rather receive a million dollars today than wait five years for five million dollars.</t>
        </is>
      </c>
      <c r="G63" s="3" t="inlineStr"/>
      <c r="H63" s="3" t="inlineStr"/>
      <c r="I63" s="3" t="inlineStr"/>
    </row>
    <row r="64">
      <c r="A64" s="3" t="inlineStr">
        <is>
          <t>wouldyourather_b01_i04</t>
        </is>
      </c>
      <c r="B64" s="3" t="inlineStr">
        <is>
          <t>04</t>
        </is>
      </c>
      <c r="C64" s="3" t="inlineStr">
        <is>
          <t>wouldyourather_b01_i</t>
        </is>
      </c>
      <c r="D64" s="3" t="inlineStr">
        <is>
          <t>wouldyourather_b01</t>
        </is>
      </c>
      <c r="E64" s="3" t="inlineStr">
        <is>
          <t>b</t>
        </is>
      </c>
      <c r="F64" s="3" t="inlineStr">
        <is>
          <t>Given the choice between accepting a million dollars today and waiting five years for five million dollars, I would rather take a million dollars today.</t>
        </is>
      </c>
      <c r="G64" s="3" t="inlineStr"/>
      <c r="H64" s="3" t="inlineStr"/>
      <c r="I64" s="3" t="inlineStr"/>
    </row>
    <row r="65">
      <c r="A65" s="3" t="inlineStr">
        <is>
          <t>wouldyourather_b01_ii01</t>
        </is>
      </c>
      <c r="B65" s="3" t="inlineStr">
        <is>
          <t>01</t>
        </is>
      </c>
      <c r="C65" s="3" t="inlineStr">
        <is>
          <t>wouldyourather_b01_ii</t>
        </is>
      </c>
      <c r="D65" s="3" t="inlineStr">
        <is>
          <t>wouldyourather_b01</t>
        </is>
      </c>
      <c r="E65" s="3" t="inlineStr">
        <is>
          <t>b</t>
        </is>
      </c>
      <c r="F65" s="3" t="inlineStr">
        <is>
          <t>Five million dollars in five years.</t>
        </is>
      </c>
      <c r="G65" s="3" t="inlineStr"/>
      <c r="H65" s="3" t="inlineStr"/>
      <c r="I65" s="3" t="inlineStr"/>
    </row>
    <row r="66">
      <c r="A66" s="3" t="inlineStr">
        <is>
          <t>wouldyourather_b01_ii02</t>
        </is>
      </c>
      <c r="B66" s="3" t="inlineStr">
        <is>
          <t>02</t>
        </is>
      </c>
      <c r="C66" s="3" t="inlineStr">
        <is>
          <t>wouldyourather_b01_ii</t>
        </is>
      </c>
      <c r="D66" s="3" t="inlineStr">
        <is>
          <t>wouldyourather_b01</t>
        </is>
      </c>
      <c r="E66" s="3" t="inlineStr">
        <is>
          <t>b</t>
        </is>
      </c>
      <c r="F66" s="3" t="inlineStr">
        <is>
          <t>I would rather five millon dollars in five years.</t>
        </is>
      </c>
      <c r="G66" s="3" t="inlineStr"/>
      <c r="H66" s="3" t="inlineStr"/>
      <c r="I66" s="3" t="inlineStr"/>
    </row>
    <row r="67">
      <c r="A67" s="3" t="inlineStr">
        <is>
          <t>wouldyourather_b01_ii03</t>
        </is>
      </c>
      <c r="B67" s="3" t="inlineStr">
        <is>
          <t>03</t>
        </is>
      </c>
      <c r="C67" s="3" t="inlineStr">
        <is>
          <t>wouldyourather_b01_ii</t>
        </is>
      </c>
      <c r="D67" s="3" t="inlineStr">
        <is>
          <t>wouldyourather_b01</t>
        </is>
      </c>
      <c r="E67" s="3" t="inlineStr">
        <is>
          <t>b</t>
        </is>
      </c>
      <c r="F67" s="3" t="inlineStr">
        <is>
          <t>I would rather wait five years for five million dollars than receive one million dollars today.</t>
        </is>
      </c>
      <c r="G67" s="3" t="inlineStr"/>
      <c r="H67" s="3" t="inlineStr"/>
      <c r="I67" s="3" t="inlineStr"/>
    </row>
    <row r="68">
      <c r="A68" s="3" t="inlineStr">
        <is>
          <t>wouldyourather_b01_ii04</t>
        </is>
      </c>
      <c r="B68" s="3" t="inlineStr">
        <is>
          <t>04</t>
        </is>
      </c>
      <c r="C68" s="3" t="inlineStr">
        <is>
          <t>wouldyourather_b01_ii</t>
        </is>
      </c>
      <c r="D68" s="3" t="inlineStr">
        <is>
          <t>wouldyourather_b01</t>
        </is>
      </c>
      <c r="E68" s="3" t="inlineStr">
        <is>
          <t>b</t>
        </is>
      </c>
      <c r="F68" s="3" t="inlineStr">
        <is>
          <t>Given the choice between accepting a million dollars today and waiting five years for five million dollars, I would rather wait.</t>
        </is>
      </c>
      <c r="G68" s="3" t="inlineStr"/>
      <c r="H68" s="3" t="inlineStr"/>
      <c r="I68" s="3" t="inlineStr"/>
    </row>
    <row r="69">
      <c r="A69" s="3" t="inlineStr">
        <is>
          <t>wouldyourather_b02_i01</t>
        </is>
      </c>
      <c r="B69" s="3" t="inlineStr">
        <is>
          <t>01</t>
        </is>
      </c>
      <c r="C69" s="3" t="inlineStr">
        <is>
          <t>wouldyourather_b02_i</t>
        </is>
      </c>
      <c r="D69" s="3" t="inlineStr">
        <is>
          <t>wouldyourather_b02</t>
        </is>
      </c>
      <c r="E69" s="3" t="inlineStr">
        <is>
          <t>b</t>
        </is>
      </c>
      <c r="F69" s="3" t="inlineStr">
        <is>
          <t>A meal with great food.</t>
        </is>
      </c>
      <c r="G69" s="3" t="inlineStr"/>
      <c r="H69" s="3" t="inlineStr"/>
      <c r="I69" s="3" t="inlineStr"/>
    </row>
    <row r="70">
      <c r="A70" s="3" t="inlineStr">
        <is>
          <t>wouldyourather_b02_i02</t>
        </is>
      </c>
      <c r="B70" s="3" t="inlineStr">
        <is>
          <t>02</t>
        </is>
      </c>
      <c r="C70" s="3" t="inlineStr">
        <is>
          <t>wouldyourather_b02_i</t>
        </is>
      </c>
      <c r="D70" s="3" t="inlineStr">
        <is>
          <t>wouldyourather_b02</t>
        </is>
      </c>
      <c r="E70" s="3" t="inlineStr">
        <is>
          <t>b</t>
        </is>
      </c>
      <c r="F70" s="3" t="inlineStr">
        <is>
          <t>I would rather a meal with great food.</t>
        </is>
      </c>
      <c r="G70" s="3" t="inlineStr"/>
      <c r="H70" s="3" t="inlineStr"/>
      <c r="I70" s="3" t="inlineStr"/>
    </row>
    <row r="71">
      <c r="A71" s="3" t="inlineStr">
        <is>
          <t>wouldyourather_b02_i03</t>
        </is>
      </c>
      <c r="B71" s="3" t="inlineStr">
        <is>
          <t>03</t>
        </is>
      </c>
      <c r="C71" s="3" t="inlineStr">
        <is>
          <t>wouldyourather_b02_i</t>
        </is>
      </c>
      <c r="D71" s="3" t="inlineStr">
        <is>
          <t>wouldyourather_b02</t>
        </is>
      </c>
      <c r="E71" s="3" t="inlineStr">
        <is>
          <t>b</t>
        </is>
      </c>
      <c r="F71" s="3" t="inlineStr">
        <is>
          <t>I would rather have a meal with great food than a meal with great conversation.</t>
        </is>
      </c>
      <c r="G71" s="3" t="inlineStr"/>
      <c r="H71" s="3" t="inlineStr"/>
      <c r="I71" s="3" t="inlineStr"/>
    </row>
    <row r="72">
      <c r="A72" s="3" t="inlineStr">
        <is>
          <t>wouldyourather_b02_i04</t>
        </is>
      </c>
      <c r="B72" s="3" t="inlineStr">
        <is>
          <t>04</t>
        </is>
      </c>
      <c r="C72" s="3" t="inlineStr">
        <is>
          <t>wouldyourather_b02_i</t>
        </is>
      </c>
      <c r="D72" s="3" t="inlineStr">
        <is>
          <t>wouldyourather_b02</t>
        </is>
      </c>
      <c r="E72" s="3" t="inlineStr">
        <is>
          <t>b</t>
        </is>
      </c>
      <c r="F72" s="3" t="inlineStr">
        <is>
          <t>Given the choice between a meal with great food and a meal with great conversation, I would rather have a meal with great food.</t>
        </is>
      </c>
      <c r="G72" s="3" t="inlineStr"/>
      <c r="H72" s="3" t="inlineStr"/>
      <c r="I72" s="3" t="inlineStr"/>
    </row>
    <row r="73">
      <c r="A73" s="3" t="inlineStr">
        <is>
          <t>wouldyourather_b02_ii01</t>
        </is>
      </c>
      <c r="B73" s="3" t="inlineStr">
        <is>
          <t>01</t>
        </is>
      </c>
      <c r="C73" s="3" t="inlineStr">
        <is>
          <t>wouldyourather_b02_ii</t>
        </is>
      </c>
      <c r="D73" s="3" t="inlineStr">
        <is>
          <t>wouldyourather_b02</t>
        </is>
      </c>
      <c r="E73" s="3" t="inlineStr">
        <is>
          <t>b</t>
        </is>
      </c>
      <c r="F73" s="3" t="inlineStr">
        <is>
          <t>A meal with great conversation.</t>
        </is>
      </c>
      <c r="G73" s="3" t="inlineStr"/>
      <c r="H73" s="3" t="inlineStr"/>
      <c r="I73" s="3" t="inlineStr"/>
    </row>
    <row r="74">
      <c r="A74" s="3" t="inlineStr">
        <is>
          <t>wouldyourather_b02_ii02</t>
        </is>
      </c>
      <c r="B74" s="3" t="inlineStr">
        <is>
          <t>02</t>
        </is>
      </c>
      <c r="C74" s="3" t="inlineStr">
        <is>
          <t>wouldyourather_b02_ii</t>
        </is>
      </c>
      <c r="D74" s="3" t="inlineStr">
        <is>
          <t>wouldyourather_b02</t>
        </is>
      </c>
      <c r="E74" s="3" t="inlineStr">
        <is>
          <t>b</t>
        </is>
      </c>
      <c r="F74" s="3" t="inlineStr">
        <is>
          <t>I would rather a meal with great conversation.</t>
        </is>
      </c>
      <c r="G74" s="3" t="inlineStr"/>
      <c r="H74" s="3" t="inlineStr"/>
      <c r="I74" s="3" t="inlineStr"/>
    </row>
    <row r="75">
      <c r="A75" s="3" t="inlineStr">
        <is>
          <t>wouldyourather_b02_ii03</t>
        </is>
      </c>
      <c r="B75" s="3" t="inlineStr">
        <is>
          <t>03</t>
        </is>
      </c>
      <c r="C75" s="3" t="inlineStr">
        <is>
          <t>wouldyourather_b02_ii</t>
        </is>
      </c>
      <c r="D75" s="3" t="inlineStr">
        <is>
          <t>wouldyourather_b02</t>
        </is>
      </c>
      <c r="E75" s="3" t="inlineStr">
        <is>
          <t>b</t>
        </is>
      </c>
      <c r="F75" s="3" t="inlineStr">
        <is>
          <t>I would rather have a meal with great conversation than a meal with great food.</t>
        </is>
      </c>
      <c r="G75" s="3" t="inlineStr"/>
      <c r="H75" s="3" t="inlineStr"/>
      <c r="I75" s="3" t="inlineStr"/>
    </row>
    <row r="76">
      <c r="A76" s="3" t="inlineStr">
        <is>
          <t>wouldyourather_b02_ii04</t>
        </is>
      </c>
      <c r="B76" s="3" t="inlineStr">
        <is>
          <t>04</t>
        </is>
      </c>
      <c r="C76" s="3" t="inlineStr">
        <is>
          <t>wouldyourather_b02_ii</t>
        </is>
      </c>
      <c r="D76" s="3" t="inlineStr">
        <is>
          <t>wouldyourather_b02</t>
        </is>
      </c>
      <c r="E76" s="3" t="inlineStr">
        <is>
          <t>b</t>
        </is>
      </c>
      <c r="F76" s="3" t="inlineStr">
        <is>
          <t>Given the choice between a meal with great food and a meal with great conversation, I would rather have a meal with great conversation.</t>
        </is>
      </c>
      <c r="G76" s="3" t="inlineStr"/>
      <c r="H76" s="3" t="inlineStr"/>
      <c r="I76" s="3" t="inlineStr"/>
    </row>
    <row r="77">
      <c r="A77" s="3" t="inlineStr">
        <is>
          <t>wouldyourather_b03_i01</t>
        </is>
      </c>
      <c r="B77" s="3" t="inlineStr">
        <is>
          <t>01</t>
        </is>
      </c>
      <c r="C77" s="3" t="inlineStr">
        <is>
          <t>wouldyourather_b03_i</t>
        </is>
      </c>
      <c r="D77" s="3" t="inlineStr">
        <is>
          <t>wouldyourather_b03</t>
        </is>
      </c>
      <c r="E77" s="3" t="inlineStr">
        <is>
          <t>b</t>
        </is>
      </c>
      <c r="F77" s="3" t="inlineStr">
        <is>
          <t>A short beach vacation with great weather.</t>
        </is>
      </c>
      <c r="G77" s="3" t="inlineStr"/>
      <c r="H77" s="3" t="inlineStr"/>
      <c r="I77" s="3" t="inlineStr"/>
    </row>
    <row r="78">
      <c r="A78" s="3" t="inlineStr">
        <is>
          <t>wouldyourather_b03_i02</t>
        </is>
      </c>
      <c r="B78" s="3" t="inlineStr">
        <is>
          <t>02</t>
        </is>
      </c>
      <c r="C78" s="3" t="inlineStr">
        <is>
          <t>wouldyourather_b03_i</t>
        </is>
      </c>
      <c r="D78" s="3" t="inlineStr">
        <is>
          <t>wouldyourather_b03</t>
        </is>
      </c>
      <c r="E78" s="3" t="inlineStr">
        <is>
          <t>b</t>
        </is>
      </c>
      <c r="F78" s="3" t="inlineStr">
        <is>
          <t>I would rather a short beach vacation with great weather.</t>
        </is>
      </c>
      <c r="G78" s="3" t="inlineStr"/>
      <c r="H78" s="3" t="inlineStr"/>
      <c r="I78" s="3" t="inlineStr"/>
    </row>
    <row r="79">
      <c r="A79" s="3" t="inlineStr">
        <is>
          <t>wouldyourather_b03_i03</t>
        </is>
      </c>
      <c r="B79" s="3" t="inlineStr">
        <is>
          <t>03</t>
        </is>
      </c>
      <c r="C79" s="3" t="inlineStr">
        <is>
          <t>wouldyourather_b03_i</t>
        </is>
      </c>
      <c r="D79" s="3" t="inlineStr">
        <is>
          <t>wouldyourather_b03</t>
        </is>
      </c>
      <c r="E79" s="3" t="inlineStr">
        <is>
          <t>b</t>
        </is>
      </c>
      <c r="F79" s="3" t="inlineStr">
        <is>
          <t>I would rather have a short beach vacation with great weather than a long beach vacation with bad weather.</t>
        </is>
      </c>
      <c r="G79" s="3" t="inlineStr"/>
      <c r="H79" s="3" t="inlineStr"/>
      <c r="I79" s="3" t="inlineStr"/>
    </row>
    <row r="80">
      <c r="A80" s="3" t="inlineStr">
        <is>
          <t>wouldyourather_b03_i04</t>
        </is>
      </c>
      <c r="B80" s="3" t="inlineStr">
        <is>
          <t>04</t>
        </is>
      </c>
      <c r="C80" s="3" t="inlineStr">
        <is>
          <t>wouldyourather_b03_i</t>
        </is>
      </c>
      <c r="D80" s="3" t="inlineStr">
        <is>
          <t>wouldyourather_b03</t>
        </is>
      </c>
      <c r="E80" s="3" t="inlineStr">
        <is>
          <t>b</t>
        </is>
      </c>
      <c r="F80" s="3" t="inlineStr">
        <is>
          <t>Given the choice between a short beach vacation with great weather and a long beach vacation with bad weather, I would rather have a short beach vacation with great weather.</t>
        </is>
      </c>
      <c r="G80" s="3" t="inlineStr"/>
      <c r="H80" s="3" t="inlineStr"/>
      <c r="I80" s="3" t="inlineStr"/>
    </row>
    <row r="81">
      <c r="A81" s="3" t="inlineStr">
        <is>
          <t>wouldyourather_b03_ii01</t>
        </is>
      </c>
      <c r="B81" s="3" t="inlineStr">
        <is>
          <t>01</t>
        </is>
      </c>
      <c r="C81" s="3" t="inlineStr">
        <is>
          <t>wouldyourather_b03_ii</t>
        </is>
      </c>
      <c r="D81" s="3" t="inlineStr">
        <is>
          <t>wouldyourather_b03</t>
        </is>
      </c>
      <c r="E81" s="3" t="inlineStr">
        <is>
          <t>b</t>
        </is>
      </c>
      <c r="F81" s="3" t="inlineStr">
        <is>
          <t>A long beach vacation with bad weather.</t>
        </is>
      </c>
      <c r="G81" s="3" t="inlineStr"/>
      <c r="H81" s="3" t="inlineStr"/>
      <c r="I81" s="3" t="inlineStr"/>
    </row>
    <row r="82">
      <c r="A82" s="3" t="inlineStr">
        <is>
          <t>wouldyourather_b03_ii02</t>
        </is>
      </c>
      <c r="B82" s="3" t="inlineStr">
        <is>
          <t>02</t>
        </is>
      </c>
      <c r="C82" s="3" t="inlineStr">
        <is>
          <t>wouldyourather_b03_ii</t>
        </is>
      </c>
      <c r="D82" s="3" t="inlineStr">
        <is>
          <t>wouldyourather_b03</t>
        </is>
      </c>
      <c r="E82" s="3" t="inlineStr">
        <is>
          <t>b</t>
        </is>
      </c>
      <c r="F82" s="3" t="inlineStr">
        <is>
          <t>I would rather a long beach vacation with bad weather.</t>
        </is>
      </c>
      <c r="G82" s="3" t="inlineStr"/>
      <c r="H82" s="3" t="inlineStr"/>
      <c r="I82" s="3" t="inlineStr"/>
    </row>
    <row r="83">
      <c r="A83" s="3" t="inlineStr">
        <is>
          <t>wouldyourather_b03_ii03</t>
        </is>
      </c>
      <c r="B83" s="3" t="inlineStr">
        <is>
          <t>03</t>
        </is>
      </c>
      <c r="C83" s="3" t="inlineStr">
        <is>
          <t>wouldyourather_b03_ii</t>
        </is>
      </c>
      <c r="D83" s="3" t="inlineStr">
        <is>
          <t>wouldyourather_b03</t>
        </is>
      </c>
      <c r="E83" s="3" t="inlineStr">
        <is>
          <t>b</t>
        </is>
      </c>
      <c r="F83" s="3" t="inlineStr">
        <is>
          <t>I would rather have a long beach vacation with bad weather than a short beach vacation with great weather.</t>
        </is>
      </c>
      <c r="G83" s="3" t="inlineStr"/>
      <c r="H83" s="3" t="inlineStr"/>
      <c r="I83" s="3" t="inlineStr"/>
    </row>
    <row r="84">
      <c r="A84" s="3" t="inlineStr">
        <is>
          <t>wouldyourather_b03_ii04</t>
        </is>
      </c>
      <c r="B84" s="3" t="inlineStr">
        <is>
          <t>04</t>
        </is>
      </c>
      <c r="C84" s="3" t="inlineStr">
        <is>
          <t>wouldyourather_b03_ii</t>
        </is>
      </c>
      <c r="D84" s="3" t="inlineStr">
        <is>
          <t>wouldyourather_b03</t>
        </is>
      </c>
      <c r="E84" s="3" t="inlineStr">
        <is>
          <t>b</t>
        </is>
      </c>
      <c r="F84" s="3" t="inlineStr">
        <is>
          <t>Given the choice between a short beach vacation with great weather and a long beach vacation with bad weather, I would rather go on a long beach vacation with bad weather.</t>
        </is>
      </c>
      <c r="G84" s="3" t="inlineStr"/>
      <c r="H84" s="3" t="inlineStr"/>
      <c r="I84" s="3" t="inlineStr"/>
    </row>
    <row r="85">
      <c r="A85" s="3" t="inlineStr">
        <is>
          <t>wouldyourather_c0101</t>
        </is>
      </c>
      <c r="B85" s="3" t="inlineStr">
        <is>
          <t>01</t>
        </is>
      </c>
      <c r="C85" s="3" t="inlineStr">
        <is>
          <t>wouldyourather_c01</t>
        </is>
      </c>
      <c r="D85" s="3" t="inlineStr"/>
      <c r="E85" s="3" t="inlineStr">
        <is>
          <t>c</t>
        </is>
      </c>
      <c r="F85" s="3" t="inlineStr">
        <is>
          <t>Speak every language or play every instrument?</t>
        </is>
      </c>
      <c r="G85" s="3" t="inlineStr"/>
      <c r="H85" s="3" t="inlineStr"/>
      <c r="I85" s="3" t="inlineStr"/>
    </row>
    <row r="86">
      <c r="A86" s="3" t="inlineStr">
        <is>
          <t>wouldyourather_c0102</t>
        </is>
      </c>
      <c r="B86" s="3" t="inlineStr">
        <is>
          <t>02</t>
        </is>
      </c>
      <c r="C86" s="3" t="inlineStr">
        <is>
          <t>wouldyourather_c01</t>
        </is>
      </c>
      <c r="D86" s="3" t="inlineStr"/>
      <c r="E86" s="3" t="inlineStr">
        <is>
          <t>c</t>
        </is>
      </c>
      <c r="F86" s="3" t="inlineStr">
        <is>
          <t>Is it better to speak every language or play every instrument?</t>
        </is>
      </c>
      <c r="G86" s="3" t="inlineStr"/>
      <c r="H86" s="3" t="inlineStr"/>
      <c r="I86" s="3" t="inlineStr"/>
    </row>
    <row r="87">
      <c r="A87" s="3" t="inlineStr">
        <is>
          <t>wouldyourather_c0103</t>
        </is>
      </c>
      <c r="B87" s="3" t="inlineStr">
        <is>
          <t>03</t>
        </is>
      </c>
      <c r="C87" s="3" t="inlineStr">
        <is>
          <t>wouldyourather_c01</t>
        </is>
      </c>
      <c r="D87" s="3" t="inlineStr"/>
      <c r="E87" s="3" t="inlineStr">
        <is>
          <t>c</t>
        </is>
      </c>
      <c r="F87" s="3" t="inlineStr">
        <is>
          <t>Would you rather be able to speak every language in the world or be able to play every musical instrument?</t>
        </is>
      </c>
      <c r="G87" s="3" t="inlineStr"/>
      <c r="H87" s="3" t="inlineStr"/>
      <c r="I87" s="3" t="inlineStr"/>
    </row>
    <row r="88">
      <c r="A88" s="3" t="inlineStr">
        <is>
          <t>wouldyourather_c0104</t>
        </is>
      </c>
      <c r="B88" s="3" t="inlineStr">
        <is>
          <t>04</t>
        </is>
      </c>
      <c r="C88" s="3" t="inlineStr">
        <is>
          <t>wouldyourather_c01</t>
        </is>
      </c>
      <c r="D88" s="3" t="inlineStr"/>
      <c r="E88" s="3" t="inlineStr">
        <is>
          <t>c</t>
        </is>
      </c>
      <c r="F88" s="3" t="inlineStr">
        <is>
          <t>Given the choice between being able to speak every language in the world and being able to play every musical instrument, Is it better to be able to do?</t>
        </is>
      </c>
      <c r="G88" s="3" t="inlineStr"/>
      <c r="H88" s="3" t="inlineStr"/>
      <c r="I88" s="3" t="inlineStr"/>
    </row>
    <row r="89">
      <c r="A89" s="3" t="inlineStr">
        <is>
          <t>wouldyourather_c0201</t>
        </is>
      </c>
      <c r="B89" s="3" t="inlineStr">
        <is>
          <t>01</t>
        </is>
      </c>
      <c r="C89" s="3" t="inlineStr">
        <is>
          <t>wouldyourather_c02</t>
        </is>
      </c>
      <c r="D89" s="3" t="inlineStr"/>
      <c r="E89" s="3" t="inlineStr">
        <is>
          <t>c</t>
        </is>
      </c>
      <c r="F89" s="3" t="inlineStr">
        <is>
          <t>A tiny apartment in a big city or a huge house in the countryside?</t>
        </is>
      </c>
      <c r="G89" s="3" t="inlineStr"/>
      <c r="H89" s="3" t="inlineStr"/>
      <c r="I89" s="3" t="inlineStr"/>
    </row>
    <row r="90">
      <c r="A90" s="3" t="inlineStr">
        <is>
          <t>wouldyourather_c0202</t>
        </is>
      </c>
      <c r="B90" s="3" t="inlineStr">
        <is>
          <t>02</t>
        </is>
      </c>
      <c r="C90" s="3" t="inlineStr">
        <is>
          <t>wouldyourather_c02</t>
        </is>
      </c>
      <c r="D90" s="3" t="inlineStr"/>
      <c r="E90" s="3" t="inlineStr">
        <is>
          <t>c</t>
        </is>
      </c>
      <c r="F90" s="3" t="inlineStr">
        <is>
          <t>Is it better to live in a tiny apartment in a big city or live in a huge house in the countryside?</t>
        </is>
      </c>
      <c r="G90" s="3" t="inlineStr"/>
      <c r="H90" s="3" t="inlineStr"/>
      <c r="I90" s="3" t="inlineStr"/>
    </row>
    <row r="91">
      <c r="A91" s="3" t="inlineStr">
        <is>
          <t>wouldyourather_c0203</t>
        </is>
      </c>
      <c r="B91" s="3" t="inlineStr">
        <is>
          <t>03</t>
        </is>
      </c>
      <c r="C91" s="3" t="inlineStr">
        <is>
          <t>wouldyourather_c02</t>
        </is>
      </c>
      <c r="D91" s="3" t="inlineStr"/>
      <c r="E91" s="3" t="inlineStr">
        <is>
          <t>c</t>
        </is>
      </c>
      <c r="F91" s="3" t="inlineStr">
        <is>
          <t>Would you rather live in a tiny apartment in a big city or live in a huge house in the countryside instead?</t>
        </is>
      </c>
      <c r="G91" s="3" t="inlineStr"/>
      <c r="H91" s="3" t="inlineStr"/>
      <c r="I91" s="3" t="inlineStr"/>
    </row>
    <row r="92">
      <c r="A92" s="3" t="inlineStr">
        <is>
          <t>wouldyourather_c0204</t>
        </is>
      </c>
      <c r="B92" s="3" t="inlineStr">
        <is>
          <t>04</t>
        </is>
      </c>
      <c r="C92" s="3" t="inlineStr">
        <is>
          <t>wouldyourather_c02</t>
        </is>
      </c>
      <c r="D92" s="3" t="inlineStr"/>
      <c r="E92" s="3" t="inlineStr">
        <is>
          <t>c</t>
        </is>
      </c>
      <c r="F92" s="3" t="inlineStr">
        <is>
          <t>Given the choice between living in a tiny apartment in a big city and living in a huge house in the countryside, Is it better to do?</t>
        </is>
      </c>
      <c r="G92" s="3" t="inlineStr"/>
      <c r="H92" s="3" t="inlineStr"/>
      <c r="I92" s="3" t="inlineStr"/>
    </row>
    <row r="93">
      <c r="A93" s="3" t="inlineStr">
        <is>
          <t>wouldyourather_c0301</t>
        </is>
      </c>
      <c r="B93" s="3" t="inlineStr">
        <is>
          <t>01</t>
        </is>
      </c>
      <c r="C93" s="3" t="inlineStr">
        <is>
          <t>wouldyourather_c03</t>
        </is>
      </c>
      <c r="D93" s="3" t="inlineStr"/>
      <c r="E93" s="3" t="inlineStr">
        <is>
          <t>c</t>
        </is>
      </c>
      <c r="F93" s="3" t="inlineStr">
        <is>
          <t>Friends who always tell you the truth or friends who always make you feel good?</t>
        </is>
      </c>
      <c r="G93" s="3" t="inlineStr"/>
      <c r="H93" s="3" t="inlineStr"/>
      <c r="I93" s="3" t="inlineStr"/>
    </row>
    <row r="94">
      <c r="A94" s="3" t="inlineStr">
        <is>
          <t>wouldyourather_c0302</t>
        </is>
      </c>
      <c r="B94" s="3" t="inlineStr">
        <is>
          <t>02</t>
        </is>
      </c>
      <c r="C94" s="3" t="inlineStr">
        <is>
          <t>wouldyourather_c03</t>
        </is>
      </c>
      <c r="D94" s="3" t="inlineStr"/>
      <c r="E94" s="3" t="inlineStr">
        <is>
          <t>c</t>
        </is>
      </c>
      <c r="F94" s="3" t="inlineStr">
        <is>
          <t>Is it better to have friends who always tell you the truth or friends who always make you feel good?</t>
        </is>
      </c>
      <c r="G94" s="3" t="inlineStr"/>
      <c r="H94" s="3" t="inlineStr"/>
      <c r="I94" s="3" t="inlineStr"/>
    </row>
    <row r="95">
      <c r="A95" s="3" t="inlineStr">
        <is>
          <t>wouldyourather_c0303</t>
        </is>
      </c>
      <c r="B95" s="3" t="inlineStr">
        <is>
          <t>03</t>
        </is>
      </c>
      <c r="C95" s="3" t="inlineStr">
        <is>
          <t>wouldyourather_c03</t>
        </is>
      </c>
      <c r="D95" s="3" t="inlineStr"/>
      <c r="E95" s="3" t="inlineStr">
        <is>
          <t>c</t>
        </is>
      </c>
      <c r="F95" s="3" t="inlineStr">
        <is>
          <t>Would you rather have friends who always tell you the truth or have friends who always make you feel good instead?</t>
        </is>
      </c>
      <c r="G95" s="3" t="inlineStr"/>
      <c r="H95" s="3" t="inlineStr"/>
      <c r="I95" s="3" t="inlineStr"/>
    </row>
    <row r="96">
      <c r="A96" s="3" t="inlineStr">
        <is>
          <t>wouldyourather_c0304</t>
        </is>
      </c>
      <c r="B96" s="3" t="inlineStr">
        <is>
          <t>04</t>
        </is>
      </c>
      <c r="C96" s="3" t="inlineStr">
        <is>
          <t>wouldyourather_c03</t>
        </is>
      </c>
      <c r="D96" s="3" t="inlineStr"/>
      <c r="E96" s="3" t="inlineStr">
        <is>
          <t>c</t>
        </is>
      </c>
      <c r="F96" s="3" t="inlineStr">
        <is>
          <t>Given the choice between having friends who always tell you the truth and having friends who always make you feel good, Is it better to have?</t>
        </is>
      </c>
      <c r="G96" s="3" t="inlineStr"/>
      <c r="H96" s="3" t="inlineStr"/>
      <c r="I96" s="3" t="inlineStr"/>
    </row>
    <row r="97">
      <c r="A97" s="3" t="inlineStr">
        <is>
          <t>wouldyourather_d01_i01</t>
        </is>
      </c>
      <c r="B97" s="3" t="inlineStr">
        <is>
          <t>01</t>
        </is>
      </c>
      <c r="C97" s="3" t="inlineStr">
        <is>
          <t>wouldyourather_d01_i</t>
        </is>
      </c>
      <c r="D97" s="3" t="inlineStr">
        <is>
          <t>wouldyourather_d01</t>
        </is>
      </c>
      <c r="E97" s="3" t="inlineStr">
        <is>
          <t>d</t>
        </is>
      </c>
      <c r="F97" s="3" t="inlineStr">
        <is>
          <t>To speak every language.</t>
        </is>
      </c>
      <c r="G97" s="3" t="inlineStr"/>
      <c r="H97" s="3" t="inlineStr"/>
      <c r="I97" s="3" t="inlineStr"/>
    </row>
    <row r="98">
      <c r="A98" s="3" t="inlineStr">
        <is>
          <t>wouldyourather_d01_i02</t>
        </is>
      </c>
      <c r="B98" s="3" t="inlineStr">
        <is>
          <t>02</t>
        </is>
      </c>
      <c r="C98" s="3" t="inlineStr">
        <is>
          <t>wouldyourather_d01_i</t>
        </is>
      </c>
      <c r="D98" s="3" t="inlineStr">
        <is>
          <t>wouldyourather_d01</t>
        </is>
      </c>
      <c r="E98" s="3" t="inlineStr">
        <is>
          <t>d</t>
        </is>
      </c>
      <c r="F98" s="3" t="inlineStr">
        <is>
          <t>I would rather be able to speak every language.</t>
        </is>
      </c>
      <c r="G98" s="3" t="inlineStr"/>
      <c r="H98" s="3" t="inlineStr"/>
      <c r="I98" s="3" t="inlineStr"/>
    </row>
    <row r="99">
      <c r="A99" s="3" t="inlineStr">
        <is>
          <t>wouldyourather_d01_i03</t>
        </is>
      </c>
      <c r="B99" s="3" t="inlineStr">
        <is>
          <t>03</t>
        </is>
      </c>
      <c r="C99" s="3" t="inlineStr">
        <is>
          <t>wouldyourather_d01_i</t>
        </is>
      </c>
      <c r="D99" s="3" t="inlineStr">
        <is>
          <t>wouldyourather_d01</t>
        </is>
      </c>
      <c r="E99" s="3" t="inlineStr">
        <is>
          <t>d</t>
        </is>
      </c>
      <c r="F99" s="3" t="inlineStr">
        <is>
          <t>I would rather be able to speak every language in the world than be able to play every musical instrument.</t>
        </is>
      </c>
      <c r="G99" s="3" t="inlineStr"/>
      <c r="H99" s="3" t="inlineStr"/>
      <c r="I99" s="3" t="inlineStr"/>
    </row>
    <row r="100">
      <c r="A100" s="3" t="inlineStr">
        <is>
          <t>wouldyourather_d01_i04</t>
        </is>
      </c>
      <c r="B100" s="3" t="inlineStr">
        <is>
          <t>04</t>
        </is>
      </c>
      <c r="C100" s="3" t="inlineStr">
        <is>
          <t>wouldyourather_d01_i</t>
        </is>
      </c>
      <c r="D100" s="3" t="inlineStr">
        <is>
          <t>wouldyourather_d01</t>
        </is>
      </c>
      <c r="E100" s="3" t="inlineStr">
        <is>
          <t>d</t>
        </is>
      </c>
      <c r="F100" s="3" t="inlineStr">
        <is>
          <t>Given the choice between being able to speak every language in the world and being able to play every musical instrument, I would rather be able to speak every language.</t>
        </is>
      </c>
      <c r="G100" s="3" t="inlineStr"/>
      <c r="H100" s="3" t="inlineStr"/>
      <c r="I100" s="3" t="inlineStr"/>
    </row>
    <row r="101">
      <c r="A101" s="3" t="inlineStr">
        <is>
          <t>wouldyourather_d01_ii01</t>
        </is>
      </c>
      <c r="B101" s="3" t="inlineStr">
        <is>
          <t>01</t>
        </is>
      </c>
      <c r="C101" s="3" t="inlineStr">
        <is>
          <t>wouldyourather_d01_ii</t>
        </is>
      </c>
      <c r="D101" s="3" t="inlineStr">
        <is>
          <t>wouldyourather_d01</t>
        </is>
      </c>
      <c r="E101" s="3" t="inlineStr">
        <is>
          <t>d</t>
        </is>
      </c>
      <c r="F101" s="3" t="inlineStr">
        <is>
          <t>To play every instrument.</t>
        </is>
      </c>
      <c r="G101" s="3" t="inlineStr"/>
      <c r="H101" s="3" t="inlineStr"/>
      <c r="I101" s="3" t="inlineStr"/>
    </row>
    <row r="102">
      <c r="A102" s="3" t="inlineStr">
        <is>
          <t>wouldyourather_d01_ii02</t>
        </is>
      </c>
      <c r="B102" s="3" t="inlineStr">
        <is>
          <t>02</t>
        </is>
      </c>
      <c r="C102" s="3" t="inlineStr">
        <is>
          <t>wouldyourather_d01_ii</t>
        </is>
      </c>
      <c r="D102" s="3" t="inlineStr">
        <is>
          <t>wouldyourather_d01</t>
        </is>
      </c>
      <c r="E102" s="3" t="inlineStr">
        <is>
          <t>d</t>
        </is>
      </c>
      <c r="F102" s="3" t="inlineStr">
        <is>
          <t>I would rather be able to play every instrument.</t>
        </is>
      </c>
      <c r="G102" s="3" t="inlineStr"/>
      <c r="H102" s="3" t="inlineStr"/>
      <c r="I102" s="3" t="inlineStr"/>
    </row>
    <row r="103">
      <c r="A103" s="3" t="inlineStr">
        <is>
          <t>wouldyourather_d01_ii03</t>
        </is>
      </c>
      <c r="B103" s="3" t="inlineStr">
        <is>
          <t>03</t>
        </is>
      </c>
      <c r="C103" s="3" t="inlineStr">
        <is>
          <t>wouldyourather_d01_ii</t>
        </is>
      </c>
      <c r="D103" s="3" t="inlineStr">
        <is>
          <t>wouldyourather_d01</t>
        </is>
      </c>
      <c r="E103" s="3" t="inlineStr">
        <is>
          <t>d</t>
        </is>
      </c>
      <c r="F103" s="3" t="inlineStr">
        <is>
          <t>I would rather be able to play every musical instrument than be able to speak every language in the world.</t>
        </is>
      </c>
      <c r="G103" s="3" t="inlineStr"/>
      <c r="H103" s="3" t="inlineStr"/>
      <c r="I103" s="3" t="inlineStr"/>
    </row>
    <row r="104">
      <c r="A104" s="3" t="inlineStr">
        <is>
          <t>wouldyourather_d01_ii04</t>
        </is>
      </c>
      <c r="B104" s="3" t="inlineStr">
        <is>
          <t>04</t>
        </is>
      </c>
      <c r="C104" s="3" t="inlineStr">
        <is>
          <t>wouldyourather_d01_ii</t>
        </is>
      </c>
      <c r="D104" s="3" t="inlineStr">
        <is>
          <t>wouldyourather_d01</t>
        </is>
      </c>
      <c r="E104" s="3" t="inlineStr">
        <is>
          <t>d</t>
        </is>
      </c>
      <c r="F104" s="3" t="inlineStr">
        <is>
          <t>Given the choice between being able to speak every language in the world and being able to play every musical instrument, I would rather be able to play every instrument.</t>
        </is>
      </c>
      <c r="G104" s="3" t="inlineStr"/>
      <c r="H104" s="3" t="inlineStr"/>
      <c r="I104" s="3" t="inlineStr"/>
    </row>
    <row r="105">
      <c r="A105" s="3" t="inlineStr">
        <is>
          <t>wouldyourather_d02_i01</t>
        </is>
      </c>
      <c r="B105" s="3" t="inlineStr">
        <is>
          <t>01</t>
        </is>
      </c>
      <c r="C105" s="3" t="inlineStr">
        <is>
          <t>wouldyourather_d02_i</t>
        </is>
      </c>
      <c r="D105" s="3" t="inlineStr">
        <is>
          <t>wouldyourather_d02</t>
        </is>
      </c>
      <c r="E105" s="3" t="inlineStr">
        <is>
          <t>d</t>
        </is>
      </c>
      <c r="F105" s="3" t="inlineStr">
        <is>
          <t>A tiny apartment in a big city.</t>
        </is>
      </c>
      <c r="G105" s="3" t="inlineStr"/>
      <c r="H105" s="3" t="inlineStr"/>
      <c r="I105" s="3" t="inlineStr"/>
    </row>
    <row r="106">
      <c r="A106" s="3" t="inlineStr">
        <is>
          <t>wouldyourather_d02_i02</t>
        </is>
      </c>
      <c r="B106" s="3" t="inlineStr">
        <is>
          <t>02</t>
        </is>
      </c>
      <c r="C106" s="3" t="inlineStr">
        <is>
          <t>wouldyourather_d02_i</t>
        </is>
      </c>
      <c r="D106" s="3" t="inlineStr">
        <is>
          <t>wouldyourather_d02</t>
        </is>
      </c>
      <c r="E106" s="3" t="inlineStr">
        <is>
          <t>d</t>
        </is>
      </c>
      <c r="F106" s="3" t="inlineStr">
        <is>
          <t>I would rather live in a tiny apartment in a big city.</t>
        </is>
      </c>
      <c r="G106" s="3" t="inlineStr"/>
      <c r="H106" s="3" t="inlineStr"/>
      <c r="I106" s="3" t="inlineStr"/>
    </row>
    <row r="107">
      <c r="A107" s="3" t="inlineStr">
        <is>
          <t>wouldyourather_d02_i03</t>
        </is>
      </c>
      <c r="B107" s="3" t="inlineStr">
        <is>
          <t>03</t>
        </is>
      </c>
      <c r="C107" s="3" t="inlineStr">
        <is>
          <t>wouldyourather_d02_i</t>
        </is>
      </c>
      <c r="D107" s="3" t="inlineStr">
        <is>
          <t>wouldyourather_d02</t>
        </is>
      </c>
      <c r="E107" s="3" t="inlineStr">
        <is>
          <t>d</t>
        </is>
      </c>
      <c r="F107" s="3" t="inlineStr">
        <is>
          <t>I would rather live in a tiny apartment in a big city than live in a huge house in the countryside.</t>
        </is>
      </c>
      <c r="G107" s="3" t="inlineStr"/>
      <c r="H107" s="3" t="inlineStr"/>
      <c r="I107" s="3" t="inlineStr"/>
    </row>
    <row r="108">
      <c r="A108" s="3" t="inlineStr">
        <is>
          <t>wouldyourather_d02_i04</t>
        </is>
      </c>
      <c r="B108" s="3" t="inlineStr">
        <is>
          <t>04</t>
        </is>
      </c>
      <c r="C108" s="3" t="inlineStr">
        <is>
          <t>wouldyourather_d02_i</t>
        </is>
      </c>
      <c r="D108" s="3" t="inlineStr">
        <is>
          <t>wouldyourather_d02</t>
        </is>
      </c>
      <c r="E108" s="3" t="inlineStr">
        <is>
          <t>d</t>
        </is>
      </c>
      <c r="F108" s="3" t="inlineStr">
        <is>
          <t>Given the choice between living in a tiny apartment in a big city and living in a huge house in the countryside, I would rather live in a tiny apartment in a big city.</t>
        </is>
      </c>
      <c r="G108" s="3" t="inlineStr"/>
      <c r="H108" s="3" t="inlineStr"/>
      <c r="I108" s="3" t="inlineStr"/>
    </row>
    <row r="109">
      <c r="A109" s="3" t="inlineStr">
        <is>
          <t>wouldyourather_d02_ii01</t>
        </is>
      </c>
      <c r="B109" s="3" t="inlineStr">
        <is>
          <t>01</t>
        </is>
      </c>
      <c r="C109" s="3" t="inlineStr">
        <is>
          <t>wouldyourather_d02_ii</t>
        </is>
      </c>
      <c r="D109" s="3" t="inlineStr">
        <is>
          <t>wouldyourather_d02</t>
        </is>
      </c>
      <c r="E109" s="3" t="inlineStr">
        <is>
          <t>d</t>
        </is>
      </c>
      <c r="F109" s="3" t="inlineStr">
        <is>
          <t>A huge house in the countryside.</t>
        </is>
      </c>
      <c r="G109" s="3" t="inlineStr"/>
      <c r="H109" s="3" t="inlineStr"/>
      <c r="I109" s="3" t="inlineStr"/>
    </row>
    <row r="110">
      <c r="A110" s="3" t="inlineStr">
        <is>
          <t>wouldyourather_d02_ii02</t>
        </is>
      </c>
      <c r="B110" s="3" t="inlineStr">
        <is>
          <t>02</t>
        </is>
      </c>
      <c r="C110" s="3" t="inlineStr">
        <is>
          <t>wouldyourather_d02_ii</t>
        </is>
      </c>
      <c r="D110" s="3" t="inlineStr">
        <is>
          <t>wouldyourather_d02</t>
        </is>
      </c>
      <c r="E110" s="3" t="inlineStr">
        <is>
          <t>d</t>
        </is>
      </c>
      <c r="F110" s="3" t="inlineStr">
        <is>
          <t>I would rather live in a huge house in the countryside.</t>
        </is>
      </c>
      <c r="G110" s="3" t="inlineStr"/>
      <c r="H110" s="3" t="inlineStr"/>
      <c r="I110" s="3" t="inlineStr"/>
    </row>
    <row r="111">
      <c r="A111" s="3" t="inlineStr">
        <is>
          <t>wouldyourather_d02_ii03</t>
        </is>
      </c>
      <c r="B111" s="3" t="inlineStr">
        <is>
          <t>03</t>
        </is>
      </c>
      <c r="C111" s="3" t="inlineStr">
        <is>
          <t>wouldyourather_d02_ii</t>
        </is>
      </c>
      <c r="D111" s="3" t="inlineStr">
        <is>
          <t>wouldyourather_d02</t>
        </is>
      </c>
      <c r="E111" s="3" t="inlineStr">
        <is>
          <t>d</t>
        </is>
      </c>
      <c r="F111" s="3" t="inlineStr">
        <is>
          <t>I would rather live in a huge house in the countryside than live in a tiny apartment in a big city.</t>
        </is>
      </c>
      <c r="G111" s="3" t="inlineStr"/>
      <c r="H111" s="3" t="inlineStr"/>
      <c r="I111" s="3" t="inlineStr"/>
    </row>
    <row r="112">
      <c r="A112" s="3" t="inlineStr">
        <is>
          <t>wouldyourather_d02_ii04</t>
        </is>
      </c>
      <c r="B112" s="3" t="inlineStr">
        <is>
          <t>04</t>
        </is>
      </c>
      <c r="C112" s="3" t="inlineStr">
        <is>
          <t>wouldyourather_d02_ii</t>
        </is>
      </c>
      <c r="D112" s="3" t="inlineStr">
        <is>
          <t>wouldyourather_d02</t>
        </is>
      </c>
      <c r="E112" s="3" t="inlineStr">
        <is>
          <t>d</t>
        </is>
      </c>
      <c r="F112" s="3" t="inlineStr">
        <is>
          <t>Given the choice between living in a tiny apartment in a big city and living in a huge house in the countryside, I would rather live in a huge house in the countryside.</t>
        </is>
      </c>
      <c r="G112" s="3" t="inlineStr"/>
      <c r="H112" s="3" t="inlineStr"/>
      <c r="I112" s="3" t="inlineStr"/>
    </row>
    <row r="113">
      <c r="A113" s="3" t="inlineStr">
        <is>
          <t>wouldyourather_d03_i01</t>
        </is>
      </c>
      <c r="B113" s="3" t="inlineStr">
        <is>
          <t>01</t>
        </is>
      </c>
      <c r="C113" s="3" t="inlineStr">
        <is>
          <t>wouldyourather_d03_i</t>
        </is>
      </c>
      <c r="D113" s="3" t="inlineStr">
        <is>
          <t>wouldyourather_d03</t>
        </is>
      </c>
      <c r="E113" s="3" t="inlineStr">
        <is>
          <t>d</t>
        </is>
      </c>
      <c r="F113" s="3" t="inlineStr">
        <is>
          <t>Friends who always tell you the truth.</t>
        </is>
      </c>
      <c r="G113" s="3" t="inlineStr"/>
      <c r="H113" s="3" t="inlineStr"/>
      <c r="I113" s="3" t="inlineStr"/>
    </row>
    <row r="114">
      <c r="A114" s="3" t="inlineStr">
        <is>
          <t>wouldyourather_d03_i02</t>
        </is>
      </c>
      <c r="B114" s="3" t="inlineStr">
        <is>
          <t>02</t>
        </is>
      </c>
      <c r="C114" s="3" t="inlineStr">
        <is>
          <t>wouldyourather_d03_i</t>
        </is>
      </c>
      <c r="D114" s="3" t="inlineStr">
        <is>
          <t>wouldyourather_d03</t>
        </is>
      </c>
      <c r="E114" s="3" t="inlineStr">
        <is>
          <t>d</t>
        </is>
      </c>
      <c r="F114" s="3" t="inlineStr">
        <is>
          <t>I would rather have friends who always tell me the truth.</t>
        </is>
      </c>
      <c r="G114" s="3" t="inlineStr"/>
      <c r="H114" s="3" t="inlineStr"/>
      <c r="I114" s="3" t="inlineStr"/>
    </row>
    <row r="115">
      <c r="A115" s="3" t="inlineStr">
        <is>
          <t>wouldyourather_d03_i03</t>
        </is>
      </c>
      <c r="B115" s="3" t="inlineStr">
        <is>
          <t>03</t>
        </is>
      </c>
      <c r="C115" s="3" t="inlineStr">
        <is>
          <t>wouldyourather_d03_i</t>
        </is>
      </c>
      <c r="D115" s="3" t="inlineStr">
        <is>
          <t>wouldyourather_d03</t>
        </is>
      </c>
      <c r="E115" s="3" t="inlineStr">
        <is>
          <t>d</t>
        </is>
      </c>
      <c r="F115" s="3" t="inlineStr">
        <is>
          <t>I would rather have friends who always tell me the truth than have friends who always make me feel good.</t>
        </is>
      </c>
      <c r="G115" s="3" t="inlineStr"/>
      <c r="H115" s="3" t="inlineStr"/>
      <c r="I115" s="3" t="inlineStr"/>
    </row>
    <row r="116">
      <c r="A116" s="3" t="inlineStr">
        <is>
          <t>wouldyourather_d03_i04</t>
        </is>
      </c>
      <c r="B116" s="3" t="inlineStr">
        <is>
          <t>04</t>
        </is>
      </c>
      <c r="C116" s="3" t="inlineStr">
        <is>
          <t>wouldyourather_d03_i</t>
        </is>
      </c>
      <c r="D116" s="3" t="inlineStr">
        <is>
          <t>wouldyourather_d03</t>
        </is>
      </c>
      <c r="E116" s="3" t="inlineStr">
        <is>
          <t>d</t>
        </is>
      </c>
      <c r="F116" s="3" t="inlineStr">
        <is>
          <t>Given the choice between having friends who always tell you the truth and having friends who always make you feel good, I would rather have friends who always tell me the truth.</t>
        </is>
      </c>
      <c r="G116" s="3" t="inlineStr"/>
      <c r="H116" s="3" t="inlineStr"/>
      <c r="I116" s="3" t="inlineStr"/>
    </row>
    <row r="117">
      <c r="A117" s="3" t="inlineStr">
        <is>
          <t>wouldyourather_d03_ii01</t>
        </is>
      </c>
      <c r="B117" s="3" t="inlineStr">
        <is>
          <t>01</t>
        </is>
      </c>
      <c r="C117" s="3" t="inlineStr">
        <is>
          <t>wouldyourather_d03_ii</t>
        </is>
      </c>
      <c r="D117" s="3" t="inlineStr">
        <is>
          <t>wouldyourather_d03</t>
        </is>
      </c>
      <c r="E117" s="3" t="inlineStr">
        <is>
          <t>d</t>
        </is>
      </c>
      <c r="F117" s="3" t="inlineStr">
        <is>
          <t>Friends who always make you feel good.</t>
        </is>
      </c>
      <c r="G117" s="3" t="inlineStr"/>
      <c r="H117" s="3" t="inlineStr"/>
      <c r="I117" s="3" t="inlineStr"/>
    </row>
    <row r="118">
      <c r="A118" s="3" t="inlineStr">
        <is>
          <t>wouldyourather_d03_ii02</t>
        </is>
      </c>
      <c r="B118" s="3" t="inlineStr">
        <is>
          <t>02</t>
        </is>
      </c>
      <c r="C118" s="3" t="inlineStr">
        <is>
          <t>wouldyourather_d03_ii</t>
        </is>
      </c>
      <c r="D118" s="3" t="inlineStr">
        <is>
          <t>wouldyourather_d03</t>
        </is>
      </c>
      <c r="E118" s="3" t="inlineStr">
        <is>
          <t>d</t>
        </is>
      </c>
      <c r="F118" s="3" t="inlineStr">
        <is>
          <t>I would rather have friends who always make me feel good.</t>
        </is>
      </c>
      <c r="G118" s="3" t="inlineStr"/>
      <c r="H118" s="3" t="inlineStr"/>
      <c r="I118" s="3" t="inlineStr"/>
    </row>
    <row r="119">
      <c r="A119" s="3" t="inlineStr">
        <is>
          <t>wouldyourather_d03_ii03</t>
        </is>
      </c>
      <c r="B119" s="3" t="inlineStr">
        <is>
          <t>03</t>
        </is>
      </c>
      <c r="C119" s="3" t="inlineStr">
        <is>
          <t>wouldyourather_d03_ii</t>
        </is>
      </c>
      <c r="D119" s="3" t="inlineStr">
        <is>
          <t>wouldyourather_d03</t>
        </is>
      </c>
      <c r="E119" s="3" t="inlineStr">
        <is>
          <t>d</t>
        </is>
      </c>
      <c r="F119" s="3" t="inlineStr">
        <is>
          <t>I would rather have friends who always make me feel good than have friends who always tell me the truth.</t>
        </is>
      </c>
      <c r="G119" s="3" t="inlineStr"/>
      <c r="H119" s="3" t="inlineStr"/>
      <c r="I119" s="3" t="inlineStr"/>
    </row>
    <row r="120">
      <c r="A120" s="3" t="inlineStr">
        <is>
          <t>wouldyourather_d03_ii04</t>
        </is>
      </c>
      <c r="B120" s="3" t="inlineStr">
        <is>
          <t>04</t>
        </is>
      </c>
      <c r="C120" s="3" t="inlineStr">
        <is>
          <t>wouldyourather_d03_ii</t>
        </is>
      </c>
      <c r="D120" s="3" t="inlineStr">
        <is>
          <t>wouldyourather_d03</t>
        </is>
      </c>
      <c r="E120" s="3" t="inlineStr">
        <is>
          <t>d</t>
        </is>
      </c>
      <c r="F120" s="3" t="inlineStr">
        <is>
          <t>Given the choice between having friends who always tell you the truth and having friends who always make you feel good, I would rather have friends who always make me feel good.</t>
        </is>
      </c>
      <c r="G120" s="3" t="inlineStr"/>
      <c r="H120" s="3" t="inlineStr"/>
      <c r="I120" s="3" t="inlineStr"/>
    </row>
    <row r="121">
      <c r="A121" s="3" t="inlineStr">
        <is>
          <t>wouldyourather_e0101</t>
        </is>
      </c>
      <c r="B121" s="3" t="inlineStr">
        <is>
          <t>01</t>
        </is>
      </c>
      <c r="C121" s="3" t="inlineStr">
        <is>
          <t>wouldyourather_e01</t>
        </is>
      </c>
      <c r="D121" s="3" t="inlineStr"/>
      <c r="E121" s="3" t="inlineStr">
        <is>
          <t>e</t>
        </is>
      </c>
      <c r="F121" s="3" t="inlineStr">
        <is>
          <t>A job you love with a low salary or a job you hate with a high salary?</t>
        </is>
      </c>
      <c r="G121" s="3" t="inlineStr"/>
      <c r="H121" s="3" t="inlineStr"/>
      <c r="I121" s="3" t="inlineStr"/>
    </row>
    <row r="122">
      <c r="A122" s="3" t="inlineStr">
        <is>
          <t>wouldyourather_e0102</t>
        </is>
      </c>
      <c r="B122" s="3" t="inlineStr">
        <is>
          <t>02</t>
        </is>
      </c>
      <c r="C122" s="3" t="inlineStr">
        <is>
          <t>wouldyourather_e01</t>
        </is>
      </c>
      <c r="D122" s="3" t="inlineStr"/>
      <c r="E122" s="3" t="inlineStr">
        <is>
          <t>e</t>
        </is>
      </c>
      <c r="F122" s="3" t="inlineStr">
        <is>
          <t>Is it better to have: a job you love with a low salary or a job you hate with a high salary?</t>
        </is>
      </c>
      <c r="G122" s="3" t="inlineStr"/>
      <c r="H122" s="3" t="inlineStr"/>
      <c r="I122" s="3" t="inlineStr"/>
    </row>
    <row r="123">
      <c r="A123" s="3" t="inlineStr">
        <is>
          <t>wouldyourather_e0103</t>
        </is>
      </c>
      <c r="B123" s="3" t="inlineStr">
        <is>
          <t>03</t>
        </is>
      </c>
      <c r="C123" s="3" t="inlineStr">
        <is>
          <t>wouldyourather_e01</t>
        </is>
      </c>
      <c r="D123" s="3" t="inlineStr"/>
      <c r="E123" s="3" t="inlineStr">
        <is>
          <t>e</t>
        </is>
      </c>
      <c r="F123" s="3" t="inlineStr">
        <is>
          <t>Would you rather have a job you love that pays a low salary or have a job you hate that pays a high salary?</t>
        </is>
      </c>
      <c r="G123" s="3" t="inlineStr"/>
      <c r="H123" s="3" t="inlineStr"/>
      <c r="I123" s="3" t="inlineStr"/>
    </row>
    <row r="124">
      <c r="A124" s="3" t="inlineStr">
        <is>
          <t>wouldyourather_e0104</t>
        </is>
      </c>
      <c r="B124" s="3" t="inlineStr">
        <is>
          <t>04</t>
        </is>
      </c>
      <c r="C124" s="3" t="inlineStr">
        <is>
          <t>wouldyourather_e01</t>
        </is>
      </c>
      <c r="D124" s="3" t="inlineStr"/>
      <c r="E124" s="3" t="inlineStr">
        <is>
          <t>e</t>
        </is>
      </c>
      <c r="F124" s="3" t="inlineStr">
        <is>
          <t>Given the choice between having a job you love that pays a low salary and having a job you hate that pays a high salary, Is it better to have?</t>
        </is>
      </c>
      <c r="G124" s="3" t="inlineStr"/>
      <c r="H124" s="3" t="inlineStr"/>
      <c r="I124" s="3" t="inlineStr"/>
    </row>
    <row r="125">
      <c r="A125" s="3" t="inlineStr">
        <is>
          <t>wouldyourather_e0201</t>
        </is>
      </c>
      <c r="B125" s="3" t="inlineStr">
        <is>
          <t>01</t>
        </is>
      </c>
      <c r="C125" s="3" t="inlineStr">
        <is>
          <t>wouldyourather_e02</t>
        </is>
      </c>
      <c r="D125" s="3" t="inlineStr"/>
      <c r="E125" s="3" t="inlineStr">
        <is>
          <t>e</t>
        </is>
      </c>
      <c r="F125" s="3" t="inlineStr">
        <is>
          <t>Rich with no privacy or poor with complete privacy?</t>
        </is>
      </c>
      <c r="G125" s="3" t="inlineStr"/>
      <c r="H125" s="3" t="inlineStr"/>
      <c r="I125" s="3" t="inlineStr"/>
    </row>
    <row r="126">
      <c r="A126" s="3" t="inlineStr">
        <is>
          <t>wouldyourather_e0202</t>
        </is>
      </c>
      <c r="B126" s="3" t="inlineStr">
        <is>
          <t>02</t>
        </is>
      </c>
      <c r="C126" s="3" t="inlineStr">
        <is>
          <t>wouldyourather_e02</t>
        </is>
      </c>
      <c r="D126" s="3" t="inlineStr"/>
      <c r="E126" s="3" t="inlineStr">
        <is>
          <t>e</t>
        </is>
      </c>
      <c r="F126" s="3" t="inlineStr">
        <is>
          <t>Is it better to be rich with no privacy or poor with complete privacy?</t>
        </is>
      </c>
      <c r="G126" s="3" t="inlineStr"/>
      <c r="H126" s="3" t="inlineStr"/>
      <c r="I126" s="3" t="inlineStr"/>
    </row>
    <row r="127">
      <c r="A127" s="3" t="inlineStr">
        <is>
          <t>wouldyourather_e0203</t>
        </is>
      </c>
      <c r="B127" s="3" t="inlineStr">
        <is>
          <t>03</t>
        </is>
      </c>
      <c r="C127" s="3" t="inlineStr">
        <is>
          <t>wouldyourather_e02</t>
        </is>
      </c>
      <c r="D127" s="3" t="inlineStr"/>
      <c r="E127" s="3" t="inlineStr">
        <is>
          <t>e</t>
        </is>
      </c>
      <c r="F127" s="3" t="inlineStr">
        <is>
          <t>Would you rather be rich but have no privacy or be poor but have complete privacy?</t>
        </is>
      </c>
      <c r="G127" s="3" t="inlineStr"/>
      <c r="H127" s="3" t="inlineStr"/>
      <c r="I127" s="3" t="inlineStr"/>
    </row>
    <row r="128">
      <c r="A128" s="3" t="inlineStr">
        <is>
          <t>wouldyourather_e0204</t>
        </is>
      </c>
      <c r="B128" s="3" t="inlineStr">
        <is>
          <t>04</t>
        </is>
      </c>
      <c r="C128" s="3" t="inlineStr">
        <is>
          <t>wouldyourather_e02</t>
        </is>
      </c>
      <c r="D128" s="3" t="inlineStr"/>
      <c r="E128" s="3" t="inlineStr">
        <is>
          <t>e</t>
        </is>
      </c>
      <c r="F128" s="3" t="inlineStr">
        <is>
          <t>Given the choice between being rich but having no privacy and being poor but having complete privacy, Is it better to be?</t>
        </is>
      </c>
      <c r="G128" s="3" t="inlineStr"/>
      <c r="H128" s="3" t="inlineStr"/>
      <c r="I128" s="3" t="inlineStr"/>
    </row>
    <row r="129">
      <c r="A129" s="3" t="inlineStr">
        <is>
          <t>wouldyourather_e0301</t>
        </is>
      </c>
      <c r="B129" s="3" t="inlineStr">
        <is>
          <t>01</t>
        </is>
      </c>
      <c r="C129" s="3" t="inlineStr">
        <is>
          <t>wouldyourather_e03</t>
        </is>
      </c>
      <c r="D129" s="3" t="inlineStr"/>
      <c r="E129" s="3" t="inlineStr">
        <is>
          <t>e</t>
        </is>
      </c>
      <c r="F129" s="3" t="inlineStr">
        <is>
          <t>A week without your phone or a week without music?</t>
        </is>
      </c>
      <c r="G129" s="3" t="inlineStr"/>
      <c r="H129" s="3" t="inlineStr"/>
      <c r="I129" s="3" t="inlineStr"/>
    </row>
    <row r="130">
      <c r="A130" s="3" t="inlineStr">
        <is>
          <t>wouldyourather_e0302</t>
        </is>
      </c>
      <c r="B130" s="3" t="inlineStr">
        <is>
          <t>02</t>
        </is>
      </c>
      <c r="C130" s="3" t="inlineStr">
        <is>
          <t>wouldyourather_e03</t>
        </is>
      </c>
      <c r="D130" s="3" t="inlineStr"/>
      <c r="E130" s="3" t="inlineStr">
        <is>
          <t>e</t>
        </is>
      </c>
      <c r="F130" s="3" t="inlineStr">
        <is>
          <t>Is it better to go a week without your phone or go a week without music?</t>
        </is>
      </c>
      <c r="G130" s="3" t="inlineStr"/>
      <c r="H130" s="3" t="inlineStr"/>
      <c r="I130" s="3" t="inlineStr"/>
    </row>
    <row r="131">
      <c r="A131" s="3" t="inlineStr">
        <is>
          <t>wouldyourather_e0303</t>
        </is>
      </c>
      <c r="B131" s="3" t="inlineStr">
        <is>
          <t>03</t>
        </is>
      </c>
      <c r="C131" s="3" t="inlineStr">
        <is>
          <t>wouldyourather_e03</t>
        </is>
      </c>
      <c r="D131" s="3" t="inlineStr"/>
      <c r="E131" s="3" t="inlineStr">
        <is>
          <t>e</t>
        </is>
      </c>
      <c r="F131" s="3" t="inlineStr">
        <is>
          <t>Would you rather go a week without your phone or go a week without listening to any music?</t>
        </is>
      </c>
      <c r="G131" s="3" t="inlineStr"/>
      <c r="H131" s="3" t="inlineStr"/>
      <c r="I131" s="3" t="inlineStr"/>
    </row>
    <row r="132">
      <c r="A132" s="3" t="inlineStr">
        <is>
          <t>wouldyourather_e0304</t>
        </is>
      </c>
      <c r="B132" s="3" t="inlineStr">
        <is>
          <t>04</t>
        </is>
      </c>
      <c r="C132" s="3" t="inlineStr">
        <is>
          <t>wouldyourather_e03</t>
        </is>
      </c>
      <c r="D132" s="3" t="inlineStr"/>
      <c r="E132" s="3" t="inlineStr">
        <is>
          <t>e</t>
        </is>
      </c>
      <c r="F132" s="3" t="inlineStr">
        <is>
          <t>Given the choice between going a week without your phone and going a week without listening to any music, Is it better to do?</t>
        </is>
      </c>
      <c r="G132" s="3" t="inlineStr"/>
      <c r="H132" s="3" t="inlineStr"/>
      <c r="I132" s="3" t="inlineStr"/>
    </row>
    <row r="133">
      <c r="A133" s="3" t="inlineStr">
        <is>
          <t>wouldyourather_f01_i01</t>
        </is>
      </c>
      <c r="B133" s="3" t="inlineStr">
        <is>
          <t>01</t>
        </is>
      </c>
      <c r="C133" s="3" t="inlineStr">
        <is>
          <t>wouldyourather_f01_i</t>
        </is>
      </c>
      <c r="D133" s="3" t="inlineStr">
        <is>
          <t>wouldyourather_f01</t>
        </is>
      </c>
      <c r="E133" s="3" t="inlineStr">
        <is>
          <t>f</t>
        </is>
      </c>
      <c r="F133" s="3" t="inlineStr">
        <is>
          <t>A job you love with a low salary.</t>
        </is>
      </c>
      <c r="G133" s="3" t="inlineStr"/>
      <c r="H133" s="3" t="inlineStr"/>
      <c r="I133" s="3" t="inlineStr"/>
    </row>
    <row r="134">
      <c r="A134" s="3" t="inlineStr">
        <is>
          <t>wouldyourather_f01_i02</t>
        </is>
      </c>
      <c r="B134" s="3" t="inlineStr">
        <is>
          <t>02</t>
        </is>
      </c>
      <c r="C134" s="3" t="inlineStr">
        <is>
          <t>wouldyourather_f01_i</t>
        </is>
      </c>
      <c r="D134" s="3" t="inlineStr">
        <is>
          <t>wouldyourather_f01</t>
        </is>
      </c>
      <c r="E134" s="3" t="inlineStr">
        <is>
          <t>f</t>
        </is>
      </c>
      <c r="F134" s="3" t="inlineStr">
        <is>
          <t>I would rather have a job I love with a low salary.</t>
        </is>
      </c>
      <c r="G134" s="3" t="inlineStr"/>
      <c r="H134" s="3" t="inlineStr"/>
      <c r="I134" s="3" t="inlineStr"/>
    </row>
    <row r="135">
      <c r="A135" s="3" t="inlineStr">
        <is>
          <t>wouldyourather_f01_i03</t>
        </is>
      </c>
      <c r="B135" s="3" t="inlineStr">
        <is>
          <t>03</t>
        </is>
      </c>
      <c r="C135" s="3" t="inlineStr">
        <is>
          <t>wouldyourather_f01_i</t>
        </is>
      </c>
      <c r="D135" s="3" t="inlineStr">
        <is>
          <t>wouldyourather_f01</t>
        </is>
      </c>
      <c r="E135" s="3" t="inlineStr">
        <is>
          <t>f</t>
        </is>
      </c>
      <c r="F135" s="3" t="inlineStr">
        <is>
          <t>I would rather have a job I love that pays a low salary than have a job I hate that pays a high salary.</t>
        </is>
      </c>
      <c r="G135" s="3" t="inlineStr"/>
      <c r="H135" s="3" t="inlineStr"/>
      <c r="I135" s="3" t="inlineStr"/>
    </row>
    <row r="136">
      <c r="A136" s="3" t="inlineStr">
        <is>
          <t>wouldyourather_f01_i04</t>
        </is>
      </c>
      <c r="B136" s="3" t="inlineStr">
        <is>
          <t>04</t>
        </is>
      </c>
      <c r="C136" s="3" t="inlineStr">
        <is>
          <t>wouldyourather_f01_i</t>
        </is>
      </c>
      <c r="D136" s="3" t="inlineStr">
        <is>
          <t>wouldyourather_f01</t>
        </is>
      </c>
      <c r="E136" s="3" t="inlineStr">
        <is>
          <t>f</t>
        </is>
      </c>
      <c r="F136" s="3" t="inlineStr">
        <is>
          <t>Given the choice between having a job you love that pays a low salary and having a job you hate that pays a high salary, I would rather have a job I love that pays a low salary.</t>
        </is>
      </c>
      <c r="G136" s="3" t="inlineStr"/>
      <c r="H136" s="3" t="inlineStr"/>
      <c r="I136" s="3" t="inlineStr"/>
    </row>
    <row r="137">
      <c r="A137" s="3" t="inlineStr">
        <is>
          <t>wouldyourather_f01_ii01</t>
        </is>
      </c>
      <c r="B137" s="3" t="inlineStr">
        <is>
          <t>01</t>
        </is>
      </c>
      <c r="C137" s="3" t="inlineStr">
        <is>
          <t>wouldyourather_f01_ii</t>
        </is>
      </c>
      <c r="D137" s="3" t="inlineStr">
        <is>
          <t>wouldyourather_f01</t>
        </is>
      </c>
      <c r="E137" s="3" t="inlineStr">
        <is>
          <t>f</t>
        </is>
      </c>
      <c r="F137" s="3" t="inlineStr">
        <is>
          <t>A job you hate with a high salary.</t>
        </is>
      </c>
      <c r="G137" s="3" t="inlineStr"/>
      <c r="H137" s="3" t="inlineStr"/>
      <c r="I137" s="3" t="inlineStr"/>
    </row>
    <row r="138">
      <c r="A138" s="3" t="inlineStr">
        <is>
          <t>wouldyourather_f01_ii02</t>
        </is>
      </c>
      <c r="B138" s="3" t="inlineStr">
        <is>
          <t>02</t>
        </is>
      </c>
      <c r="C138" s="3" t="inlineStr">
        <is>
          <t>wouldyourather_f01_ii</t>
        </is>
      </c>
      <c r="D138" s="3" t="inlineStr">
        <is>
          <t>wouldyourather_f01</t>
        </is>
      </c>
      <c r="E138" s="3" t="inlineStr">
        <is>
          <t>f</t>
        </is>
      </c>
      <c r="F138" s="3" t="inlineStr">
        <is>
          <t>I would rather have a job I hate with a high salary.</t>
        </is>
      </c>
      <c r="G138" s="3" t="inlineStr"/>
      <c r="H138" s="3" t="inlineStr"/>
      <c r="I138" s="3" t="inlineStr"/>
    </row>
    <row r="139">
      <c r="A139" s="3" t="inlineStr">
        <is>
          <t>wouldyourather_f01_ii03</t>
        </is>
      </c>
      <c r="B139" s="3" t="inlineStr">
        <is>
          <t>03</t>
        </is>
      </c>
      <c r="C139" s="3" t="inlineStr">
        <is>
          <t>wouldyourather_f01_ii</t>
        </is>
      </c>
      <c r="D139" s="3" t="inlineStr">
        <is>
          <t>wouldyourather_f01</t>
        </is>
      </c>
      <c r="E139" s="3" t="inlineStr">
        <is>
          <t>f</t>
        </is>
      </c>
      <c r="F139" s="3" t="inlineStr">
        <is>
          <t>I would rather have a job I hate that pays a high salary than have a job I love that pays a low salary.</t>
        </is>
      </c>
      <c r="G139" s="3" t="inlineStr"/>
      <c r="H139" s="3" t="inlineStr"/>
      <c r="I139" s="3" t="inlineStr"/>
    </row>
    <row r="140">
      <c r="A140" s="3" t="inlineStr">
        <is>
          <t>wouldyourather_f01_ii04</t>
        </is>
      </c>
      <c r="B140" s="3" t="inlineStr">
        <is>
          <t>04</t>
        </is>
      </c>
      <c r="C140" s="3" t="inlineStr">
        <is>
          <t>wouldyourather_f01_ii</t>
        </is>
      </c>
      <c r="D140" s="3" t="inlineStr">
        <is>
          <t>wouldyourather_f01</t>
        </is>
      </c>
      <c r="E140" s="3" t="inlineStr">
        <is>
          <t>f</t>
        </is>
      </c>
      <c r="F140" s="3" t="inlineStr">
        <is>
          <t>Given the choice between having a job you love that pays a low salary and having a job you hate that pays a high salary, I would rather have a job I hate that pays a high salary.</t>
        </is>
      </c>
      <c r="G140" s="3" t="inlineStr"/>
      <c r="H140" s="3" t="inlineStr"/>
      <c r="I140" s="3" t="inlineStr"/>
    </row>
    <row r="141">
      <c r="A141" s="3" t="inlineStr">
        <is>
          <t>wouldyourather_f02_i01</t>
        </is>
      </c>
      <c r="B141" s="3" t="inlineStr">
        <is>
          <t>01</t>
        </is>
      </c>
      <c r="C141" s="3" t="inlineStr">
        <is>
          <t>wouldyourather_f02_i</t>
        </is>
      </c>
      <c r="D141" s="3" t="inlineStr">
        <is>
          <t>wouldyourather_f02</t>
        </is>
      </c>
      <c r="E141" s="3" t="inlineStr">
        <is>
          <t>f</t>
        </is>
      </c>
      <c r="F141" s="3" t="inlineStr">
        <is>
          <t>To be rich with no privacy.</t>
        </is>
      </c>
      <c r="G141" s="3" t="inlineStr"/>
      <c r="H141" s="3" t="inlineStr"/>
      <c r="I141" s="3" t="inlineStr"/>
    </row>
    <row r="142">
      <c r="A142" s="3" t="inlineStr">
        <is>
          <t>wouldyourather_f02_i02</t>
        </is>
      </c>
      <c r="B142" s="3" t="inlineStr">
        <is>
          <t>02</t>
        </is>
      </c>
      <c r="C142" s="3" t="inlineStr">
        <is>
          <t>wouldyourather_f02_i</t>
        </is>
      </c>
      <c r="D142" s="3" t="inlineStr">
        <is>
          <t>wouldyourather_f02</t>
        </is>
      </c>
      <c r="E142" s="3" t="inlineStr">
        <is>
          <t>f</t>
        </is>
      </c>
      <c r="F142" s="3" t="inlineStr">
        <is>
          <t>I would rather be rich with no privacy.</t>
        </is>
      </c>
      <c r="G142" s="3" t="inlineStr"/>
      <c r="H142" s="3" t="inlineStr"/>
      <c r="I142" s="3" t="inlineStr"/>
    </row>
    <row r="143">
      <c r="A143" s="3" t="inlineStr">
        <is>
          <t>wouldyourather_f02_i03</t>
        </is>
      </c>
      <c r="B143" s="3" t="inlineStr">
        <is>
          <t>03</t>
        </is>
      </c>
      <c r="C143" s="3" t="inlineStr">
        <is>
          <t>wouldyourather_f02_i</t>
        </is>
      </c>
      <c r="D143" s="3" t="inlineStr">
        <is>
          <t>wouldyourather_f02</t>
        </is>
      </c>
      <c r="E143" s="3" t="inlineStr">
        <is>
          <t>f</t>
        </is>
      </c>
      <c r="F143" s="3" t="inlineStr">
        <is>
          <t>I would rather be rich but have no privacy than be poor but have complete privacy.</t>
        </is>
      </c>
      <c r="G143" s="3" t="inlineStr"/>
      <c r="H143" s="3" t="inlineStr"/>
      <c r="I143" s="3" t="inlineStr"/>
    </row>
    <row r="144">
      <c r="A144" s="3" t="inlineStr">
        <is>
          <t>wouldyourather_f02_i04</t>
        </is>
      </c>
      <c r="B144" s="3" t="inlineStr">
        <is>
          <t>04</t>
        </is>
      </c>
      <c r="C144" s="3" t="inlineStr">
        <is>
          <t>wouldyourather_f02_i</t>
        </is>
      </c>
      <c r="D144" s="3" t="inlineStr">
        <is>
          <t>wouldyourather_f02</t>
        </is>
      </c>
      <c r="E144" s="3" t="inlineStr">
        <is>
          <t>f</t>
        </is>
      </c>
      <c r="F144" s="3" t="inlineStr">
        <is>
          <t>Given the choice between being rich but having no privacy and being poor but having complete privacy, I would rather be rich.</t>
        </is>
      </c>
      <c r="G144" s="3" t="inlineStr"/>
      <c r="H144" s="3" t="inlineStr"/>
      <c r="I144" s="3" t="inlineStr"/>
    </row>
    <row r="145">
      <c r="A145" s="3" t="inlineStr">
        <is>
          <t>wouldyourather_f02_ii01</t>
        </is>
      </c>
      <c r="B145" s="3" t="inlineStr">
        <is>
          <t>01</t>
        </is>
      </c>
      <c r="C145" s="3" t="inlineStr">
        <is>
          <t>wouldyourather_f02_ii</t>
        </is>
      </c>
      <c r="D145" s="3" t="inlineStr">
        <is>
          <t>wouldyourather_f02</t>
        </is>
      </c>
      <c r="E145" s="3" t="inlineStr">
        <is>
          <t>f</t>
        </is>
      </c>
      <c r="F145" s="3" t="inlineStr">
        <is>
          <t>To be poor with complete privacy.</t>
        </is>
      </c>
      <c r="G145" s="3" t="inlineStr"/>
      <c r="H145" s="3" t="inlineStr"/>
      <c r="I145" s="3" t="inlineStr"/>
    </row>
    <row r="146">
      <c r="A146" s="3" t="inlineStr">
        <is>
          <t>wouldyourather_f02_ii02</t>
        </is>
      </c>
      <c r="B146" s="3" t="inlineStr">
        <is>
          <t>02</t>
        </is>
      </c>
      <c r="C146" s="3" t="inlineStr">
        <is>
          <t>wouldyourather_f02_ii</t>
        </is>
      </c>
      <c r="D146" s="3" t="inlineStr">
        <is>
          <t>wouldyourather_f02</t>
        </is>
      </c>
      <c r="E146" s="3" t="inlineStr">
        <is>
          <t>f</t>
        </is>
      </c>
      <c r="F146" s="3" t="inlineStr">
        <is>
          <t>I would rather be poor with complete privacy.</t>
        </is>
      </c>
      <c r="G146" s="3" t="inlineStr"/>
      <c r="H146" s="3" t="inlineStr"/>
      <c r="I146" s="3" t="inlineStr"/>
    </row>
    <row r="147">
      <c r="A147" s="3" t="inlineStr">
        <is>
          <t>wouldyourather_f02_ii03</t>
        </is>
      </c>
      <c r="B147" s="3" t="inlineStr">
        <is>
          <t>03</t>
        </is>
      </c>
      <c r="C147" s="3" t="inlineStr">
        <is>
          <t>wouldyourather_f02_ii</t>
        </is>
      </c>
      <c r="D147" s="3" t="inlineStr">
        <is>
          <t>wouldyourather_f02</t>
        </is>
      </c>
      <c r="E147" s="3" t="inlineStr">
        <is>
          <t>f</t>
        </is>
      </c>
      <c r="F147" s="3" t="inlineStr">
        <is>
          <t>I would rather be poor but have complete privacy than be rich but have no privacy.</t>
        </is>
      </c>
      <c r="G147" s="3" t="inlineStr"/>
      <c r="H147" s="3" t="inlineStr"/>
      <c r="I147" s="3" t="inlineStr"/>
    </row>
    <row r="148">
      <c r="A148" s="3" t="inlineStr">
        <is>
          <t>wouldyourather_f02_ii04</t>
        </is>
      </c>
      <c r="B148" s="3" t="inlineStr">
        <is>
          <t>04</t>
        </is>
      </c>
      <c r="C148" s="3" t="inlineStr">
        <is>
          <t>wouldyourather_f02_ii</t>
        </is>
      </c>
      <c r="D148" s="3" t="inlineStr">
        <is>
          <t>wouldyourather_f02</t>
        </is>
      </c>
      <c r="E148" s="3" t="inlineStr">
        <is>
          <t>f</t>
        </is>
      </c>
      <c r="F148" s="3" t="inlineStr">
        <is>
          <t>Given the choice between being famous but having no privacy and being unknown but having complete privacy, I would rather be unknown.</t>
        </is>
      </c>
      <c r="G148" s="3" t="inlineStr"/>
      <c r="H148" s="3" t="inlineStr"/>
      <c r="I148" s="3" t="inlineStr"/>
    </row>
    <row r="149">
      <c r="A149" s="3" t="inlineStr">
        <is>
          <t>wouldyourather_f03_i01</t>
        </is>
      </c>
      <c r="B149" s="3" t="inlineStr">
        <is>
          <t>01</t>
        </is>
      </c>
      <c r="C149" s="3" t="inlineStr">
        <is>
          <t>wouldyourather_f03_i</t>
        </is>
      </c>
      <c r="D149" s="3" t="inlineStr">
        <is>
          <t>wouldyourather_f03</t>
        </is>
      </c>
      <c r="E149" s="3" t="inlineStr">
        <is>
          <t>f</t>
        </is>
      </c>
      <c r="F149" s="3" t="inlineStr">
        <is>
          <t>A week without your phone.</t>
        </is>
      </c>
      <c r="G149" s="3" t="inlineStr"/>
      <c r="H149" s="3" t="inlineStr"/>
      <c r="I149" s="3" t="inlineStr"/>
    </row>
    <row r="150">
      <c r="A150" s="3" t="inlineStr">
        <is>
          <t>wouldyourather_f03_i02</t>
        </is>
      </c>
      <c r="B150" s="3" t="inlineStr">
        <is>
          <t>02</t>
        </is>
      </c>
      <c r="C150" s="3" t="inlineStr">
        <is>
          <t>wouldyourather_f03_i</t>
        </is>
      </c>
      <c r="D150" s="3" t="inlineStr">
        <is>
          <t>wouldyourather_f03</t>
        </is>
      </c>
      <c r="E150" s="3" t="inlineStr">
        <is>
          <t>f</t>
        </is>
      </c>
      <c r="F150" s="3" t="inlineStr">
        <is>
          <t>I would rather go a week without my phone.</t>
        </is>
      </c>
      <c r="G150" s="3" t="inlineStr"/>
      <c r="H150" s="3" t="inlineStr"/>
      <c r="I150" s="3" t="inlineStr"/>
    </row>
    <row r="151">
      <c r="A151" s="3" t="inlineStr">
        <is>
          <t>wouldyourather_f03_i03</t>
        </is>
      </c>
      <c r="B151" s="3" t="inlineStr">
        <is>
          <t>03</t>
        </is>
      </c>
      <c r="C151" s="3" t="inlineStr">
        <is>
          <t>wouldyourather_f03_i</t>
        </is>
      </c>
      <c r="D151" s="3" t="inlineStr">
        <is>
          <t>wouldyourather_f03</t>
        </is>
      </c>
      <c r="E151" s="3" t="inlineStr">
        <is>
          <t>f</t>
        </is>
      </c>
      <c r="F151" s="3" t="inlineStr">
        <is>
          <t>I would rather go a week without my phone than go a week without listening to any music.</t>
        </is>
      </c>
      <c r="G151" s="3" t="inlineStr"/>
      <c r="H151" s="3" t="inlineStr"/>
      <c r="I151" s="3" t="inlineStr"/>
    </row>
    <row r="152">
      <c r="A152" s="3" t="inlineStr">
        <is>
          <t>wouldyourather_f03_i04</t>
        </is>
      </c>
      <c r="B152" s="3" t="inlineStr">
        <is>
          <t>04</t>
        </is>
      </c>
      <c r="C152" s="3" t="inlineStr">
        <is>
          <t>wouldyourather_f03_i</t>
        </is>
      </c>
      <c r="D152" s="3" t="inlineStr">
        <is>
          <t>wouldyourather_f03</t>
        </is>
      </c>
      <c r="E152" s="3" t="inlineStr">
        <is>
          <t>f</t>
        </is>
      </c>
      <c r="F152" s="3" t="inlineStr">
        <is>
          <t>Given the choice between going a week without your phone and going a week without listening to any music, I would rather go a week without my phone.</t>
        </is>
      </c>
      <c r="G152" s="3" t="inlineStr"/>
      <c r="H152" s="3" t="inlineStr"/>
      <c r="I152" s="3" t="inlineStr"/>
    </row>
    <row r="153">
      <c r="A153" s="3" t="inlineStr">
        <is>
          <t>wouldyourather_f03_ii01</t>
        </is>
      </c>
      <c r="B153" s="3" t="inlineStr">
        <is>
          <t>01</t>
        </is>
      </c>
      <c r="C153" s="3" t="inlineStr">
        <is>
          <t>wouldyourather_f03_ii</t>
        </is>
      </c>
      <c r="D153" s="3" t="inlineStr">
        <is>
          <t>wouldyourather_f03</t>
        </is>
      </c>
      <c r="E153" s="3" t="inlineStr">
        <is>
          <t>f</t>
        </is>
      </c>
      <c r="F153" s="3" t="inlineStr">
        <is>
          <t>A week without music.</t>
        </is>
      </c>
      <c r="G153" s="3" t="inlineStr"/>
      <c r="H153" s="3" t="inlineStr"/>
      <c r="I153" s="3" t="inlineStr"/>
    </row>
    <row r="154">
      <c r="A154" s="3" t="inlineStr">
        <is>
          <t>wouldyourather_f03_ii02</t>
        </is>
      </c>
      <c r="B154" s="3" t="inlineStr">
        <is>
          <t>02</t>
        </is>
      </c>
      <c r="C154" s="3" t="inlineStr">
        <is>
          <t>wouldyourather_f03_ii</t>
        </is>
      </c>
      <c r="D154" s="3" t="inlineStr">
        <is>
          <t>wouldyourather_f03</t>
        </is>
      </c>
      <c r="E154" s="3" t="inlineStr">
        <is>
          <t>f</t>
        </is>
      </c>
      <c r="F154" s="3" t="inlineStr">
        <is>
          <t>I would rather go a week without music.</t>
        </is>
      </c>
      <c r="G154" s="3" t="inlineStr"/>
      <c r="H154" s="3" t="inlineStr"/>
      <c r="I154" s="3" t="inlineStr"/>
    </row>
    <row r="155">
      <c r="A155" s="3" t="inlineStr">
        <is>
          <t>wouldyourather_f03_ii03</t>
        </is>
      </c>
      <c r="B155" s="3" t="inlineStr">
        <is>
          <t>03</t>
        </is>
      </c>
      <c r="C155" s="3" t="inlineStr">
        <is>
          <t>wouldyourather_f03_ii</t>
        </is>
      </c>
      <c r="D155" s="3" t="inlineStr">
        <is>
          <t>wouldyourather_f03</t>
        </is>
      </c>
      <c r="E155" s="3" t="inlineStr">
        <is>
          <t>f</t>
        </is>
      </c>
      <c r="F155" s="3" t="inlineStr">
        <is>
          <t>I would rather go a week without listening to any music than go a week without my phone.</t>
        </is>
      </c>
      <c r="G155" s="3" t="inlineStr"/>
      <c r="H155" s="3" t="inlineStr"/>
      <c r="I155" s="3" t="inlineStr"/>
    </row>
    <row r="156">
      <c r="A156" s="3" t="inlineStr">
        <is>
          <t>wouldyourather_f03_ii04</t>
        </is>
      </c>
      <c r="B156" s="3" t="inlineStr">
        <is>
          <t>04</t>
        </is>
      </c>
      <c r="C156" s="3" t="inlineStr">
        <is>
          <t>wouldyourather_f03_ii</t>
        </is>
      </c>
      <c r="D156" s="3" t="inlineStr">
        <is>
          <t>wouldyourather_f03</t>
        </is>
      </c>
      <c r="E156" s="3" t="inlineStr">
        <is>
          <t>f</t>
        </is>
      </c>
      <c r="F156" s="3" t="inlineStr">
        <is>
          <t>Given the choice between going a week without your phone and going a week without listening to any music, I would rather go a week without listening to any music.</t>
        </is>
      </c>
      <c r="G156" s="3" t="inlineStr"/>
      <c r="H156" s="3" t="inlineStr"/>
      <c r="I156" s="3" t="inlineStr"/>
    </row>
  </sheetData>
  <autoFilter ref="A48:I15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2026-10-12T17:51:44Z</dcterms:created>
  <dcterms:modified xsi:type="dcterms:W3CDTF">2026-10-12T17:51:44Z</dcterms:modified>
</cp:coreProperties>
</file>